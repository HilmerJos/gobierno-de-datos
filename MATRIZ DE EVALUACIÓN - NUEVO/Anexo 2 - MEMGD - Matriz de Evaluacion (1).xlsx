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quispel\Downloads\MEMGD 1.1\"/>
    </mc:Choice>
  </mc:AlternateContent>
  <xr:revisionPtr revIDLastSave="0" documentId="13_ncr:1_{5BD70EDE-B8DB-41FB-83BD-25CB1D624497}" xr6:coauthVersionLast="47" xr6:coauthVersionMax="47" xr10:uidLastSave="{00000000-0000-0000-0000-000000000000}"/>
  <bookViews>
    <workbookView xWindow="-120" yWindow="-120" windowWidth="29040" windowHeight="15720" tabRatio="500" activeTab="1" xr2:uid="{00000000-000D-0000-FFFF-FFFF00000000}"/>
  </bookViews>
  <sheets>
    <sheet name="Instrucciones" sheetId="1" r:id="rId1"/>
    <sheet name="Matriz de Evaluación" sheetId="2" r:id="rId2"/>
    <sheet name="Hoja de Puntaje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D9" i="3" l="1"/>
  <c r="E9" i="3" s="1"/>
  <c r="C9" i="3"/>
  <c r="D8" i="3"/>
  <c r="E8" i="3" s="1"/>
  <c r="C8" i="3"/>
  <c r="D7" i="3"/>
  <c r="E7" i="3" s="1"/>
  <c r="C7" i="3"/>
  <c r="D6" i="3"/>
  <c r="E6" i="3" s="1"/>
  <c r="C6" i="3"/>
  <c r="D5" i="3"/>
  <c r="E5" i="3" s="1"/>
  <c r="C5" i="3"/>
  <c r="D4" i="3"/>
  <c r="E4" i="3" s="1"/>
  <c r="C4" i="3"/>
  <c r="D3" i="3"/>
  <c r="E3" i="3" s="1"/>
  <c r="C3" i="3"/>
  <c r="D2" i="3"/>
  <c r="E2" i="3" s="1"/>
  <c r="C2" i="3"/>
  <c r="D11" i="3" l="1"/>
  <c r="E11" i="3" s="1"/>
</calcChain>
</file>

<file path=xl/sharedStrings.xml><?xml version="1.0" encoding="utf-8"?>
<sst xmlns="http://schemas.openxmlformats.org/spreadsheetml/2006/main" count="1023" uniqueCount="876">
  <si>
    <t>MEMGD — Matriz de Evaluación del Modelo de Evaluación de Madurez en Gobierno y Gestión de Datos</t>
  </si>
  <si>
    <t>Versión 1.1 — para las entidades públicas</t>
  </si>
  <si>
    <t>Instrucciones de uso</t>
  </si>
  <si>
    <t>1. En la hoja "Matriz de Evaluación", revise cada una de las 75 preguntas junto con sus 6 opciones de respuesta (niveles 0 a 5).</t>
  </si>
  <si>
    <t>2. En la columna "Respuesta" (celda resaltada en amarillo), seleccione el nivel (0 a 5) que mejor describe el estado actual de la entidad para esa pregunta, según la lista desplegable de la celda.</t>
  </si>
  <si>
    <t>3. Cuatro preguntas (3.16, 6.8, 8.2 y 8.4) admiten la respuesta "NA" (No Aplica), únicamente cuando se cumple la condición objetiva y verificable indicada en su columna "¿Admite No Aplica?". Su uso debe sustentarse en un análisis documentado por la entidad evaluada y queda sujeto a revisión por el evaluador — no es una autocalificación libre.</t>
  </si>
  <si>
    <t>4. Use las columnas "Explicación" y "Resultados Esperados / Ejemplos" como referencia para interpretar cada pregunta y el criterio que se espera en el nivel más alto (5).</t>
  </si>
  <si>
    <t>5. La hoja "Hoja de Puntajes" calcula automáticamente, mediante fórmulas, el promedio de cada una de las 8 dimensiones (excluyendo del denominador las preguntas sin responder y las marcadas "NA") y el Puntaje Final del MEMGD (promedio de los 8 promedios de dimensión), con su nivel de madurez correspondiente. El nivel corresponde a la parte entera del puntaje (p. ej., 2,9 = nivel 2; el nivel 3 se alcanza con 3,0 o más).</t>
  </si>
  <si>
    <t>6. Esta Matriz es la modalidad de aplicación manual (offline) del MEMGD. Sus resultados se registran en la plataforma del Centro Nacional de Datos (madurez.cnd.gob.pe), y el nivel de madurez institucional se acredita con el informe final validado y aprobado por el CND.</t>
  </si>
  <si>
    <t>Escala de madurez (alineada a la nomenclatura oficial de la ENGD 2026-2030, RM N.° 049-2026-PCM)</t>
  </si>
  <si>
    <t>Nivel</t>
  </si>
  <si>
    <t>Nombre oficial (ENGD / MEMGD)</t>
  </si>
  <si>
    <t>No iniciado</t>
  </si>
  <si>
    <t>Inicial</t>
  </si>
  <si>
    <t>En desarrollo</t>
  </si>
  <si>
    <t>Definido</t>
  </si>
  <si>
    <t>Logrado</t>
  </si>
  <si>
    <t>Optimizado</t>
  </si>
  <si>
    <t>Nota: documente el sustento de cada respuesta en el Inventario de Evidencias, conforme a las secciones 4 y 5 del Modelo (Metodología de la Evaluación y Metodología de Puntuación).</t>
  </si>
  <si>
    <t>Dimensión</t>
  </si>
  <si>
    <t>N°</t>
  </si>
  <si>
    <t>Título</t>
  </si>
  <si>
    <t>Pregunta</t>
  </si>
  <si>
    <t>Opción 0</t>
  </si>
  <si>
    <t>Opción 1</t>
  </si>
  <si>
    <t>Opción 2</t>
  </si>
  <si>
    <t>Opción 3</t>
  </si>
  <si>
    <t>Opción 4</t>
  </si>
  <si>
    <t>Opción 5</t>
  </si>
  <si>
    <t>¿Admite "No Aplica"?</t>
  </si>
  <si>
    <t>Respuesta (0-5 o NA)</t>
  </si>
  <si>
    <t>Explicación</t>
  </si>
  <si>
    <t>Resultados Esperados / Ejemplos</t>
  </si>
  <si>
    <t>D1. ESTRATEGIA DE GOBIERNO DE DATOS</t>
  </si>
  <si>
    <t>1.1</t>
  </si>
  <si>
    <t>Formulación y aprobación del PAGD</t>
  </si>
  <si>
    <t>¿En qué etapa se encuentra la formulación y aprobación del Plan de Acción de Gobierno de Datos (PAGD)?</t>
  </si>
  <si>
    <t>No existe gestión estratégica de datos, ni formal ni informal.</t>
  </si>
  <si>
    <t>Existe una visión u objetivos reconocidos informalmente, sin documentación ni PAGD.</t>
  </si>
  <si>
    <t>El PAGD está en borrador, con algunos elementos definidos (visión, misión, beneficios u objetivos), aún no aprobado.</t>
  </si>
  <si>
    <t>El PAGD ha sido formalmente aprobado por el Comité de Gobierno y Transformación Digital.</t>
  </si>
  <si>
    <t>La implementación del PAGD se supervisa mediante revisiones periódicas que verifican su vigencia.</t>
  </si>
  <si>
    <t>El PAGD es un pilar de la gestión estratégica institucional, revisado y optimizado de forma continua.</t>
  </si>
  <si>
    <t>No</t>
  </si>
  <si>
    <t>Evalúa la formulación y aprobación formal del Plan de Acción de Gobierno de Datos (PAGD) —instrumento único exigido por la ENGD (RM 049-2026-PCM, Art. 4.4-5.2)—, en su dimensión puramente procedimental (etapa de formulación y aprobación). La articulación de su enfoque estratégico con los Objetivos Estratégicos Institucionales (OEI) se evalúa por separado en la pregunta 1.2.</t>
  </si>
  <si>
    <t>Se espera un PAGD formalmente aprobado por el Comité de Gobierno y Transformación Digital, revisado y optimizado de forma continua. La mejora implica llevar el PAGD de un borrador a su aprobación formal, y mantener esa vigencia con revisiones periódicas. Ejemplo: El Comité aprueba mediante acta el PAGD en su sesión ordinaria, y programa una revisión semestral de vigencia.</t>
  </si>
  <si>
    <t>1.2</t>
  </si>
  <si>
    <t>Articulación estratégica del PAGD con los OEI</t>
  </si>
  <si>
    <t>¿En qué medida el enfoque estratégico del PAGD está articulado con los Objetivos Estratégicos Institucionales (OEI) de la entidad?</t>
  </si>
  <si>
    <t>No hay ninguna referencia a los OEI en la gestión de datos.</t>
  </si>
  <si>
    <t>Se reconoce la necesidad de alinear con los OEI, sin vinculación explícita.</t>
  </si>
  <si>
    <t>Existe una vinculación general o declarativa con los OEI, sin trazabilidad concreta a objetivos específicos.</t>
  </si>
  <si>
    <t>El PAGD articula explícitamente su visión, misión, beneficios y objetivos con OEI específicos.</t>
  </si>
  <si>
    <t>La articulación con los OEI se revisa periódicamente para verificar su vigencia.</t>
  </si>
  <si>
    <t>La articulación con los OEI es un criterio activo que orienta la priorización y ajuste continuo del PAGD.</t>
  </si>
  <si>
    <t>Evalúa si el enfoque estratégico del PAGD (visión, misión, beneficios, objetivos) está articulado con los Objetivos Estratégicos Institucionales (OEI) de la entidad — distinta de la formulación y aprobación procedimental del PAGD, evaluada en 1.1.</t>
  </si>
  <si>
    <t>Se espera que la articulación con los OEI sea un criterio activo que oriente la priorización y ajuste continuo del PAGD. La mejora implica pasar de una vinculación declarativa a una trazabilidad concreta con objetivos específicos. Ejemplo: El PAGD incluye una matriz que vincula cada una de sus iniciativas con el OEI institucional al que contribuye.</t>
  </si>
  <si>
    <t>1.3</t>
  </si>
  <si>
    <t>Diagnóstico, objetivos e iniciativas priorizadas del PAGD</t>
  </si>
  <si>
    <t>¿En qué medida la entidad cuenta con un diagnóstico de su situación de gobierno y gestión de datos, y lo traduce en objetivos específicos con resultados esperados e iniciativas priorizadas con cronograma y responsables?</t>
  </si>
  <si>
    <t>No existe diagnóstico, objetivos ni iniciativas de datos identificables, ni dentro ni fuera de un PAGD.</t>
  </si>
  <si>
    <t>Existe una apreciación informal de la situación de datos, o iniciativas aisladas, sin objetivos ni resultados esperados articulados entre sí.</t>
  </si>
  <si>
    <t>Existe un diagnóstico documentado parcial, u objetivos/iniciativas definidos de forma informal o dispersa — aún no consolidados en un PAGD.</t>
  </si>
  <si>
    <t>El PAGD formal consolida el diagnóstico, los objetivos específicos con resultados esperados, y las iniciativas priorizadas con cronograma y responsables, conforme al contenido mínimo del Art. 5.1 de la RM 049-2026-PCM.</t>
  </si>
  <si>
    <t>El diagnóstico, los objetivos y las iniciativas se revisan y actualizan periódicamente, usando el avance de los indicadores (KPI/KRI, ver pregunta 1.4) para verificar el cumplimiento de los resultados esperados.</t>
  </si>
  <si>
    <t>El PAGD es un instrumento vivo: su diagnóstico e iniciativas se priorizan dinámicamente según el impacto medido de los resultados, retroalimentando el ciclo de planeamiento institucional.</t>
  </si>
  <si>
    <t>Evalúa si la gestión de datos de la entidad —formalizada en el PAGD o, en etapas tempranas, mediante iniciativas informales— cuenta con diagnóstico, objetivos con resultados esperados, e iniciativas priorizadas con cronograma y responsables, conforme al contenido mínimo exigido por el Art. 5.1 de la RM 049-2026-PCM.</t>
  </si>
  <si>
    <t>Se espera un PAGD como instrumento vivo, con iniciativas priorizadas dinámicamente según impacto y resultados medidos. La mejora implica consolidar en un solo documento el diagnóstico, los objetivos y las iniciativas con su cronograma y responsables (el financiamiento de las iniciativas se evalúa en las preguntas 1.5 y 2.1). Ejemplo: El PAGD incluye una matriz con 8 iniciativas, cada una con responsable y fecha de inicio y fin.</t>
  </si>
  <si>
    <t>1.4</t>
  </si>
  <si>
    <t>Definición de indicadores (KPI/KRI) y reporte de avance al Comité y a la SGTD</t>
  </si>
  <si>
    <t>¿Se definen indicadores (KPI/KRI) para monitorizar las iniciativas de datos de la entidad, y con qué frecuencia el OGD reporta su avance al Comité de Gobierno y Transformación Digital y a la SGTD?</t>
  </si>
  <si>
    <t>No se definen indicadores de las iniciativas de datos, ni se reportan avances.</t>
  </si>
  <si>
    <t>Se identifican indicadores de forma informal para algunas iniciativas de datos, sin uso sistemático ni reporte formal.</t>
  </si>
  <si>
    <t>Se recopilan indicadores de forma inconsistente; los reportes del OGD (de existir) son esporádicos o no cumplen la frecuencia normativa vigente.</t>
  </si>
  <si>
    <t>El OGD reporta formalmente los indicadores del PAGD al Comité y a la SGTD con la frecuencia que establece la normativa vigente aplicable.</t>
  </si>
  <si>
    <t>Los indicadores se analizan activamente y se utilizan para ajustar el PAGD, con revisión periódica de las causas de las desviaciones identificadas.</t>
  </si>
  <si>
    <t>El reporte del OGD incorpora análisis predictivo y recomendaciones proactivas para la toma de decisiones estratégicas del Comité, anticipando riesgos antes de que afecten el cumplimiento del PAGD.</t>
  </si>
  <si>
    <t>Evalúa si la entidad ha definido indicadores para medir el avance (KPI) y los riesgos (KRI) de sus iniciativas de datos, si los mide y los usa para tomar decisiones, y si el OGD reporta formalmente ese avance al Comité de Gobierno y Transformación Digital y a la SGTD con la frecuencia que exige la normativa vigente.</t>
  </si>
  <si>
    <t>Se espera que el reporte del OGD incorpore análisis predictivo y recomendaciones proactivas para la toma de decisiones del Comité. La mejora implica definir indicadores claros y establecer el reporte formal con la frecuencia normativa vigente: trimestral para el avance de las acciones estratégicas de la ENGD al Comité y a la SGTD (ENGD, Sección VII), y semestral para el reporte del OGD a la SGTD sobre cumplimiento normativo (RSGTD N° 001-2022-PCM/SGTD). Ejemplo: El OGD presenta periódicamente un tablero con 6 KPI del PAGD (ej. % de iniciativas en curso, % de presupuesto ejecutado) al Comité y remite copia a la SGTD.</t>
  </si>
  <si>
    <t>1.5</t>
  </si>
  <si>
    <t>Articulación con PEI/POI/PMI/PGD y aseguramiento presupuestal</t>
  </si>
  <si>
    <t>¿En qué grado las iniciativas de datos de la entidad están articuladas con el Plan Estratégico Institucional (PEI), el Plan Operativo Institucional (POI), el Programa Multianual de Inversiones (PMI) y el Plan de Gobierno Digital (PGD), garantizando presupuesto para su ejecución?</t>
  </si>
  <si>
    <t>Las iniciativas de datos no están incorporadas en el PEI, POI ni PGD —ni, cuando corresponda, en el PMI— ni cuentan con ningún respaldo presupuestal.</t>
  </si>
  <si>
    <t>Las iniciativas de datos se gestionan de forma aislada, con financiamiento puntual, sin referencia formal en los instrumentos de gestión institucional.</t>
  </si>
  <si>
    <t>Se está integrando parcialmente el PAGD (o las iniciativas de datos, de existir aún sin PAGD) con el PEI, POI, PMI o PGD, sin asignación presupuestal definida.</t>
  </si>
  <si>
    <t>El PAGD está formalmente articulado con el PEI, el POI y el PGD de la entidad, y con el PMI cuando sus iniciativas califiquen como proyectos de inversión.</t>
  </si>
  <si>
    <t>La articulación garantiza presupuesto para la sostenibilidad de las iniciativas del PAGD, administrado en el marco del PGD.</t>
  </si>
  <si>
    <t>La gestión presupuestal de las iniciativas de datos está optimizada y demuestra contribución medible a los objetivos institucionales.</t>
  </si>
  <si>
    <t>Evalúa si las iniciativas de datos de la entidad están articuladas con los instrumentos de planeamiento institucional (PEI, POI, PMI, PGD), garantizando presupuesto para su ejecución, conforme al Art. 5.2 de la RM 049-2026-PCM.</t>
  </si>
  <si>
    <t>Se espera una gestión presupuestal optimizada que demuestre contribución medible a los objetivos institucionales. La mejora implica incorporar formalmente los proyectos de datos en el PEI, el POI y el PGD. Para el nivel 3 se requiere la articulación con los tres instrumentos a la vez (no son alternativas entre sí), y con el PMI únicamente cuando las iniciativas califiquen como proyecto de inversión pública. Ejemplo: El proyecto "Implementación del MRD institucional" figura en el POI del área de TI con una partida presupuestal específica para el año fiscal, y está referenciado en el PGD de la entidad.</t>
  </si>
  <si>
    <t>1.6</t>
  </si>
  <si>
    <t>Gestión de datos como activo estratégico en la operación diaria</t>
  </si>
  <si>
    <t>Más allá de la formalización del PAGD, ¿en qué medida se gestionan los datos como un activo estratégico en la operación diaria de la entidad, a lo largo de su ciclo de vida (recopilación, procesamiento, publicación, almacenamiento, disposición), de forma transparente y ética?</t>
  </si>
  <si>
    <t>No hay conciencia ni procesos para gestionar los datos como activo estratégico en el día a día.</t>
  </si>
  <si>
    <t>Se reconoce verbalmente la importancia de los datos, pero su gestión operativa es esporádica y reactiva.</t>
  </si>
  <si>
    <t>Existen prácticas en desarrollo, aplicadas de forma inconsistente entre áreas.</t>
  </si>
  <si>
    <t>Existen procesos definidos y aplicados de forma consistente, priorizando transparencia y uso ético.</t>
  </si>
  <si>
    <t>Estos procesos se monitorean y sus resultados se miden periódicamente.</t>
  </si>
  <si>
    <t>La gestión de datos como activo estratégico está plenamente integrada en la operación institucional.</t>
  </si>
  <si>
    <t>Mide, más allá de la existencia formal del PAGD, si en la operación diaria de la entidad los datos se gestionan efectivamente como un activo estratégico a lo largo de su ciclo de vida (recopilación, procesamiento, publicación, almacenamiento, disposición), priorizando transparencia y uso ético.</t>
  </si>
  <si>
    <t>Se espera que la gestión de datos como activo estratégico esté plenamente integrada en la operación institucional. La mejora implica que las áreas apliquen prácticas consistentes de gestión del ciclo de vida del dato, no solo lo declarado en el PAGD. Ejemplo: El área de trámites documentales aplica un procedimiento estándar de verificación de datos antes de su publicación, sin que medie instrucción puntual.</t>
  </si>
  <si>
    <t>1.7</t>
  </si>
  <si>
    <t>Uso de información para la toma de decisiones</t>
  </si>
  <si>
    <t>¿En qué medida la información generada a partir de los datos se utiliza como insumo principal para la toma de decisiones en los procesos de gestión institucional?</t>
  </si>
  <si>
    <t>Las decisiones se toman por intuición o experiencia, sin datos como insumo principal.</t>
  </si>
  <si>
    <t>Los datos se usan de forma limitada e informal para decisiones operativas puntuales.</t>
  </si>
  <si>
    <t>El uso de datos se fomenta en algunas áreas, con informes básicos, sin análisis sistemático transversal.</t>
  </si>
  <si>
    <t>La entidad cuenta con una práctica establecida de uso de datos para la toma de decisiones en las áreas identificadas como críticas.</t>
  </si>
  <si>
    <t>Los informes de gestión institucional incorporan datos, análisis de tendencias y proyecciones que respaldan formalmente las decisiones estratégicas.</t>
  </si>
  <si>
    <t>Las decisiones institucionales se basan sistemáticamente en datos y analítica avanzada, de forma repetible y predecible.</t>
  </si>
  <si>
    <t>Evalúa el grado en que la información generada a partir de datos se utiliza como insumo principal —y no solo referencial— para la toma de decisiones en los procesos de gestión institucional.</t>
  </si>
  <si>
    <t>Se espera que las decisiones institucionales se basen sistemáticamente en datos y analítica avanzada, de forma repetible y predecible. La mejora implica que los informes de gestión incorporen datos y análisis de tendencias que respalden formalmente las decisiones. Evidencia orientativa por nivel: en el nivel 3, actas o reportes periódicos de las áreas críticas que documenten el uso de datos en sus decisiones; en el nivel 4, informes de gestión institucional con secciones de análisis de datos y tendencias (ejemplo: el informe trimestral de gestión de la Alta Dirección incluye una sección de "Indicadores basados en datos" que sustenta las decisiones de reasignación de recursos); en el nivel 5, tableros de control o modelos analíticos de uso institucionalizado y recurrente, que anteceden la decisión en vez de justificarla después de tomada.</t>
  </si>
  <si>
    <t>1.8</t>
  </si>
  <si>
    <t>Frecuencia y uso de las evaluaciones de madurez de gobierno de datos</t>
  </si>
  <si>
    <t>¿Con qué frecuencia y profundidad se realizan evaluaciones de madurez de gobierno de datos para identificar brechas y generar planes de acción?</t>
  </si>
  <si>
    <t>Nunca se han realizado evaluaciones de madurez de gobierno de datos.</t>
  </si>
  <si>
    <t>Se ha realizado una evaluación exploratoria o puntual, sin seguimiento formal de resultados.</t>
  </si>
  <si>
    <t>Se están iniciando evaluaciones periódicas, con planes de acción incompletos o inconsistentes.</t>
  </si>
  <si>
    <t>Se realizan evaluaciones de madurez de forma periódica, generando y ejecutando planes de acción de forma formal.</t>
  </si>
  <si>
    <t>Las evaluaciones forman parte de un ciclo de mejora continua, con monitoreo del avance de los planes de acción.</t>
  </si>
  <si>
    <t>Las evaluaciones son proactivas e integradas a la planificación estratégica institucional.</t>
  </si>
  <si>
    <t>Evalúa si la entidad aplica el MEMGD de forma periódica —no como un ejercicio único— y si usa sus resultados: que las brechas identificadas se traduzcan en acciones del PAGD con seguimiento de su ejecución, y que la comparación entre evaluaciones sucesivas permita verificar el avance real.</t>
  </si>
  <si>
    <t>Se espera que las evaluaciones sean proactivas e integradas a la planificación estratégica institucional. La mejora implica programar evaluaciones periódicas con seguimiento formal de los planes de acción resultantes. Se recomienda metodológicamente una periodicidad de 18 meses entre evaluaciones; esta cadencia es orientativa y no constituye un requisito estricto para calificar en el nivel 3. Ejemplo: La entidad aplica el MEMGD por segunda vez a los 18 meses de la primera evaluación, comparando resultados y actualizando su PAGD en función de las brechas identificadas.</t>
  </si>
  <si>
    <t>D2. VIABILIDAD FINANCIERA</t>
  </si>
  <si>
    <t>2.1</t>
  </si>
  <si>
    <t>Asignación y sostenibilidad de recursos y presupuesto para las iniciativas de datos</t>
  </si>
  <si>
    <t>¿Qué nivel de asignación de recursos y presupuesto específico se ha logrado para la sostenibilidad de las iniciativas de datos de la entidad?</t>
  </si>
  <si>
    <t>No se asignan recursos ni presupuesto para las iniciativas de datos.</t>
  </si>
  <si>
    <t>La asignación de recursos es esporádica, obtenida de fondos generales, sin planificación formal.</t>
  </si>
  <si>
    <t>Se realizan esfuerzos para asegurar presupuesto a las iniciativas de datos (con o sin PAGD formalizado), pero la asignación no está formalizada ni es sostenible.</t>
  </si>
  <si>
    <t>Se han identificado y asignado formalmente recursos y presupuesto para las iniciativas de datos de la entidad —incluidas en el PAGD cuando la entidad ya cuente con uno— dentro del presupuesto institucional del año, sea mediante una meta presupuestal propia o como parte identificada de una meta o actividad ya existente.</t>
  </si>
  <si>
    <t>Se realiza monitoreo continuo de la ejecución presupuestal, asegurando que las iniciativas cumplan sus objetivos financieros.</t>
  </si>
  <si>
    <t>Los recursos y el presupuesto están completamente optimizados, asegurando la sostenibilidad y el crecimiento de las iniciativas de datos.</t>
  </si>
  <si>
    <t>Evalúa si la entidad asigna recursos y presupuesto específico y sostenible a sus iniciativas de datos, sean estas parte de un PAGD ya formalizado o aún gestionadas de forma informal.</t>
  </si>
  <si>
    <t>Se espera que los recursos y el presupuesto estén completamente optimizados, asegurando la sostenibilidad y el crecimiento de las iniciativas de datos. La mejora implica pasar de financiamiento esporádico con fondos generales a una asignación formal y específica. Ejemplo: la entidad identifica y asigna un monto específico para "Implementación del Gobierno de Datos" dentro de su presupuesto institucional del año — como meta presupuestal propia en entidades con mayor capacidad de estructuración presupuestal, o como componente identificado dentro de una meta de TI existente en entidades de menor tamaño.</t>
  </si>
  <si>
    <t>2.2</t>
  </si>
  <si>
    <t>Participación de las partes interesadas en la justificación presupuestal</t>
  </si>
  <si>
    <t>¿En qué grado se ha involucrado a las partes interesadas en la elaboración y justificación del requerimiento presupuestal para la gestión de datos?</t>
  </si>
  <si>
    <t>Las partes interesadas no participan en la elaboración del presupuesto.</t>
  </si>
  <si>
    <t>Son notificadas, pero sin participación activa o sistemática.</t>
  </si>
  <si>
    <t>Algunas son consultadas, pero el involucramiento es limitado.</t>
  </si>
  <si>
    <t>Las partes interesadas relevantes participan activamente en la elaboración y justificación del presupuesto.</t>
  </si>
  <si>
    <t>El requerimiento de presupuesto es validado formalmente por las partes interesadas antes de su presentación, incorporando sus observaciones.</t>
  </si>
  <si>
    <t>La participación es estratégica y continua, promoviendo transparencia en la viabilidad financiera.</t>
  </si>
  <si>
    <t>Evalúa el grado de involucramiento de las partes interesadas (áreas usuarias, TI, planeamiento, alta dirección) en la elaboración y sustento del requerimiento presupuestal para la gestión de datos.</t>
  </si>
  <si>
    <t>Se espera una participación estratégica y continua que promueva transparencia en la viabilidad financiera. La mejora implica pasar de la mera notificación a la validación activa del requerimiento por las partes interesadas. Ejemplo: El área de Planeamiento y Presupuesto valida formalmente el requerimiento presupuestal de la Oficina de Gobierno de Datos antes de su presentación a la Alta Dirección.</t>
  </si>
  <si>
    <t>2.3</t>
  </si>
  <si>
    <t>Justificación de resultados, productos y servicios de las iniciativas de datos</t>
  </si>
  <si>
    <t>¿Se han justificado los resultados, productos y/o servicios esperados de las iniciativas de datos de la entidad para garantizar su financiamiento?</t>
  </si>
  <si>
    <t>No se han justificado los resultados, productos o servicios esperados de las iniciativas de datos.</t>
  </si>
  <si>
    <t>Se presenta una justificación genérica de alguna iniciativa puntual, sin detalle suficiente.</t>
  </si>
  <si>
    <t>La justificación de las iniciativas de datos está en proceso, sin resultados/servicios claramente definidos.</t>
  </si>
  <si>
    <t>Se cuenta con una justificación documentada de resultados, productos y servicios que sustenta el financiamiento de las iniciativas de datos —incluidas en el PAGD cuando la entidad ya cuente con uno—.</t>
  </si>
  <si>
    <t>Se monitorea el cumplimiento de los resultados, productos y servicios justificados frente a lo planificado, y esa información se usa para ajustar la planificación de recursos.</t>
  </si>
  <si>
    <t>La justificación es integral y garantiza la disponibilidad financiera a largo plazo, usándose para medir el valor generado.</t>
  </si>
  <si>
    <t>Evalúa si la entidad documenta la justificación de los resultados, productos y/o servicios esperados de sus iniciativas de datos, como sustento para obtener y mantener su financiamiento.</t>
  </si>
  <si>
    <t>Se espera una justificación integral que garantice la disponibilidad financiera a largo plazo y se use para medir el valor generado. La mejora implica documentar de forma específica (no genérica) los resultados esperados de cada iniciativa. Ejemplo: El expediente técnico del proyecto "Implementación del MDM" incluye una sección de resultados esperados con métricas de reducción de duplicados como sustento de la inversión.</t>
  </si>
  <si>
    <t>2.4</t>
  </si>
  <si>
    <t>Metodología de medición del beneficio, utilidad e impacto social de las iniciativas de datos</t>
  </si>
  <si>
    <t>¿Se ha establecido una metodología para calcular y monitorear periódicamente el beneficio, utilidad y/o impacto social de las iniciativas de datos de la entidad, y se usa para tomar decisiones?</t>
  </si>
  <si>
    <t>No se ha establecido ninguna metodología para calcular el beneficio o impacto social de las iniciativas de datos.</t>
  </si>
  <si>
    <t>Se recopilan datos básicos sobre alguna iniciativa puntual, pero el cálculo del impacto es ad-hoc.</t>
  </si>
  <si>
    <t>Se está desarrollando una metodología, sin formalizar ni monitorear periódicamente.</t>
  </si>
  <si>
    <t>Se cuenta con metodología definida para justificar inversiones, midiendo el impacto financiero, utilidad y/o social de las iniciativas de datos.</t>
  </si>
  <si>
    <t>El beneficio/impacto social se monitorea periódicamente, permitiendo proyectar el retorno de futuras inversiones.</t>
  </si>
  <si>
    <t>La gestión de recursos es transparente y optimizada, maximizando continuamente el beneficio e impacto social.</t>
  </si>
  <si>
    <t>Evalúa si la entidad ha definido una metodología para calcular y monitorear el beneficio, utilidad o impacto social de sus iniciativas de datos, usando esa información para la toma de decisiones sobre inversión.</t>
  </si>
  <si>
    <t>Se espera una gestión de recursos transparente y optimizada que maximice continuamente el beneficio e impacto social. La mejora implica definir una metodología formal de medición de impacto, más allá del seguimiento presupuestal básico. Ejemplo: La entidad calcula que la implementación del catálogo de datos abiertos generó un ahorro estimado en tiempo de atención de solicitudes de acceso a la información.</t>
  </si>
  <si>
    <t>2.5</t>
  </si>
  <si>
    <t>Identificación y priorización de casos de uso de datos</t>
  </si>
  <si>
    <t>¿La entidad identifica, documenta y prioriza casos de uso de datos con potencial de generar valor público o institucional, como base para justificar y priorizar sus iniciativas de gobierno de datos?</t>
  </si>
  <si>
    <t>No se identifican ni documentan casos de uso de datos.</t>
  </si>
  <si>
    <t>Se mencionan ideas de casos de uso de forma informal, sin documentación ni priorización.</t>
  </si>
  <si>
    <t>Se documentan algunos casos de uso, sin metodología de priorización ni vínculo claro con las iniciativas de datos de la entidad.</t>
  </si>
  <si>
    <t>Se identifican, documentan y priorizan casos de uso de datos con una metodología definida, incorporados como iniciativas de datos de la entidad —en el PAGD cuando la entidad ya cuente con uno—.</t>
  </si>
  <si>
    <t>Los casos de uso priorizados se ejecutan como pilotos, y sus resultados se usan para justificar la escalabilidad de nuevas iniciativas.</t>
  </si>
  <si>
    <t>La identificación de casos de uso es un proceso continuo e institucionalizado, que impulsa la cartera de iniciativas de datos basada en valor demostrado.</t>
  </si>
  <si>
    <t>Evalúa si la entidad identifica, documenta y prioriza casos de uso concretos de datos —con potencial de generar valor público o institucional— como base para justificar y priorizar sus iniciativas de gobierno de datos.</t>
  </si>
  <si>
    <t>Se espera que la identificación de casos de uso sea un proceso continuo e institucionalizado que impulse la cartera de iniciativas de datos basada en valor demostrado. La mejora implica pasar de ideas informales a una metodología de priorización documentada. Ejemplo: La entidad documenta el caso de uso "Cruce de padrones para detectar duplicidad de beneficiarios" y lo ejecuta como piloto antes de escalarlo a otros programas sociales.</t>
  </si>
  <si>
    <t>D3. ORGANIZACIÓN Y CULTURA DE DATOS</t>
  </si>
  <si>
    <t>3.1</t>
  </si>
  <si>
    <t>Estructura de gobernanza de datos</t>
  </si>
  <si>
    <t>¿Cuál es el nivel de formalización e implementación de la función de gobierno de datos en la entidad, ejercida por una Oficina de Gobierno de Datos dedicada o por un área existente que asuma esta función?</t>
  </si>
  <si>
    <t>No existe ninguna función de gobierno de datos, ni siquiera de forma informal.</t>
  </si>
  <si>
    <t>Existen funciones de gobierno de datos asignadas informalmente o de forma dispersa entre distintas áreas.</t>
  </si>
  <si>
    <t>La función está en diseño o implementación inicial, sin incorporación formal en los instrumentos de gestión.</t>
  </si>
  <si>
    <t>Se ha formalizado la función de gobierno de datos (mediante una Oficina dedicada o un área existente designada), incorporada en los instrumentos de gestión organizacional (ROF/MOF o similares).</t>
  </si>
  <si>
    <t>La función es plenamente operativa, cuenta con recursos y presupuesto asignado, y se monitorea su efectividad.</t>
  </si>
  <si>
    <t>La función de gobierno de datos es madura, se adapta proactivamente y está integrada con la gestión de riesgos institucional.</t>
  </si>
  <si>
    <t>Evalúa la formalización de la función de gobierno de datos en la entidad —ejercida por una Oficina de Gobierno de Datos dedicada o por un área existente que la asuma—, incluyendo su incorporación en los instrumentos de gestión organizacional (ROF, MOF o equivalentes), conforme al Marco de Gobernanza y Gestión de Datos (DL 1412, Art. 25). Distinta del rol de dirección estratégica que ejerce el Comité de Gobierno y Transformación Digital, evaluado en 3.2.</t>
  </si>
  <si>
    <t>Se espera una función de gobierno de datos madura, que se adapte proactivamente y esté integrada con la gestión de riesgos institucional. La mejora implica formalizar la función en los instrumentos de gestión, sin que ello requiera necesariamente crear una nueva unidad orgánica. Ejemplo: El MOF de la entidad incorpora la función de gobierno de datos como responsabilidad de la Oficina de Tecnologías de la Información, sin crear una oficina nueva.</t>
  </si>
  <si>
    <t>3.2</t>
  </si>
  <si>
    <t>Comité de Gobierno y Transformación Digital</t>
  </si>
  <si>
    <t>¿Qué tan madura es la función del Comité de Gobierno y Transformación Digital en liderar la gobernanza y el uso estratégico de los datos, incluyendo el establecimiento de políticas, la asignación de recursos y la vigilancia del cumplimiento normativo?</t>
  </si>
  <si>
    <t>El Comité no existe o su función es ajena a la gobernanza de datos.</t>
  </si>
  <si>
    <t>El Comité existe, pero su rol en la gobernanza de datos es pasivo.</t>
  </si>
  <si>
    <t>El Comité está formalizando su rol, con vigilancia inconsistente, y sesiona con una frecuencia menor a una vez cada 3 meses en el último año.</t>
  </si>
  <si>
    <t>El Comité ejerce un rol formal y activo en la dirección estratégica, el establecimiento de políticas y la asignación de recursos, además sesiona al menos cada 3 meses, en el último año.</t>
  </si>
  <si>
    <t>El Comité monitorea constantemente el cumplimiento normativo y usa esta información para decisiones estratégicas.</t>
  </si>
  <si>
    <t>El Comité es un motor clave de la transformación digital basada en datos.</t>
  </si>
  <si>
    <t>Evalúa la madurez del Comité de Gobierno y Transformación Digital como ente rector de la gobernanza y el uso estratégico de los datos, incluyendo su rol en el establecimiento de políticas, la asignación de recursos y la vigilancia del cumplimiento normativo. Distinta de la función ejecutora de gobierno de datos (Oficina dedicada o área designada), evaluada en 3.1.</t>
  </si>
  <si>
    <t>Se espera que el Comité sea un motor clave de la transformación digital basada en datos. La mejora implica su formalización y el ejercicio activo de liderazgo, más allá de su existencia nominal. Ejemplo: El Comité emite una directriz formal que obliga a todas las áreas a utilizar el Glosario institucional de datos.</t>
  </si>
  <si>
    <t>3.3</t>
  </si>
  <si>
    <t>Designación y formalización del OGD</t>
  </si>
  <si>
    <t>¿Qué tan formalizada está la designación del Oficial de Gobierno de Datos (OGD), incluyendo la comunicación a la SGTD y la incorporación de sus responsabilidades en los instrumentos de gestión institucional?</t>
  </si>
  <si>
    <t>No se ha designado un OGD; tampoco se ha identificado, ni siquiera de manera informal, quién debería asumir ese rol.</t>
  </si>
  <si>
    <t>Se ha identificado informalmente quién debería asumir el rol de OGD (incluyendo, en gobiernos locales tipo E, F o G, el Líder de GTD o el Gerente Municipal), pero sin designación formal ni comunicación a la SGTD.</t>
  </si>
  <si>
    <t>El OGD ha sido designado formalmente, pero su designación no se ha comunicado a la SGTD o sus responsabilidades no se han formalizado (ni en la resolución ni en el MOF, MPP o equivalente).</t>
  </si>
  <si>
    <t>El OGD ha sido designado formalmente y comunicado a la SGTD, y sus responsabilidades están formalizadas en la resolución de designación (por remisión al perfil de la SGTD) o en el MOF, MPP o equivalente.</t>
  </si>
  <si>
    <t>El OGD dispone de tiempo y capacidad efectiva para ejercer el rol, monitorea las iniciativas, reporta formalmente al Comité y articula con los dueños de procesos y los demás roles de la Directiva N° 001-2022-PCM/SGTD.</t>
  </si>
  <si>
    <t>El OGD es un líder estratégico con alta visibilidad, referente institucional en gobierno de datos.</t>
  </si>
  <si>
    <t>Evalúa la formalización de la designación del Oficial de Gobierno de Datos (OGD), incluyendo la comunicación a la SGTD y la incorporación de sus responsabilidades —basadas en el perfil emitido por la SGTD (Directiva 001-2022-PCM/SGTD)— en los instrumentos de gestión de recursos humanos de la entidad (MOF, MPP o equivalente). En gobiernos locales tipo E, F y G, el rol del OGD lo asume el Líder de Gobierno y Transformación Digital o Gerente Municipal (Directiva 001-2022-PCM/SGTD, num. 7.2).</t>
  </si>
  <si>
    <t>Se espera un OGD reconocido institucionalmente como líder estratégico con alta visibilidad. La mejora implica no solo designar a la persona, sino formalizar sus funciones específicas —por referencia al perfil de la SGTD o por incorporación a los instrumentos de RRHH—, y que el OGD articule activamente con los demás roles de la Directiva (Comité, OSCD, ODP, Arquitecto Digital). Ejemplo: la Resolución de designación del OGD incluye la frase "conforme a las funciones establecidas en el perfil de OGD de la Directiva N° 001-2022-PCM/SGTD", sin que sea necesario tramitar en paralelo una modificación del MOF o MPP.</t>
  </si>
  <si>
    <t>3.4</t>
  </si>
  <si>
    <t>Designación y formalización del ODP</t>
  </si>
  <si>
    <t>¿Se ha designado formalmente a un Oficial de Datos Personales (ODP), comunicando esta designación a la ANPD y asegurando el cumplimiento de sus funciones normativas?</t>
  </si>
  <si>
    <t>No se ha designado un ODP.</t>
  </si>
  <si>
    <t>Se ha asignado la responsabilidad de ODP, sin formalización ni comunicación a la ANPD.</t>
  </si>
  <si>
    <t>El ODP existe, pero carece de autoridad o recursos para cumplir plenamente sus funciones.</t>
  </si>
  <si>
    <t>El ODP ha sido designado formalmente, comunicado a la ANPD, y cumple sus funciones normativas.</t>
  </si>
  <si>
    <t>El ODP cuenta con autoridad formal y presupuesto asignado, y actúa como enlace activo con la ANPD.</t>
  </si>
  <si>
    <t>El ODP impulsa medidas proactivas de protección y privacidad, con cumplimiento integral de la Ley 29733.</t>
  </si>
  <si>
    <t>Evalúa la formalización de la designación del Oficial de Datos Personales (ODP), la comunicación a la Autoridad Nacional de Protección de Datos Personales (ANPD), y el cumplimiento de sus funciones normativas (DS 029-2021-PCM, Art. 68.6).</t>
  </si>
  <si>
    <t>Se espera un ODP que impulse medidas proactivas de protección y privacidad, con cumplimiento integral de la Ley 29733. La mejora implica asegurar autoridad y recursos suficientes para el ejercicio efectivo del rol. Ejemplo: El ODP lidera la implementación de medidas de "Privacidad desde el Diseño" en un nuevo servicio digital antes de su lanzamiento.</t>
  </si>
  <si>
    <t>3.5</t>
  </si>
  <si>
    <t>Dueños y Custodios de Datos</t>
  </si>
  <si>
    <t>¿En qué medida la entidad identifica, formaliza y mantiene actualizado un registro de Dueños de Datos (responsables de la exactitud y calidad de sus datos) y Custodios de Datos (responsables de la ejecución técnica de su cuidado), con responsabilidades incorporadas en documentos formales?</t>
  </si>
  <si>
    <t>No se ha identificado a ningún Dueño ni Custodio de Datos.</t>
  </si>
  <si>
    <t>La responsabilidad es difusa o informal, sin distinción entre Dueño y Custodio.</t>
  </si>
  <si>
    <t>Se están identificando dueños y custodios, pero el registro no está actualizado ni formalizado.</t>
  </si>
  <si>
    <t>Se ha identificado formalmente a los dueños y custodios para los dominios de datos críticos, con responsabilidades documentadas.</t>
  </si>
  <si>
    <t>El registro se mantiene actualizado y aprobado, y se monitorea el cumplimiento de responsabilidades.</t>
  </si>
  <si>
    <t>Los dueños y custodios están plenamente empoderados, su desempeño se evalúa periódicamente y colaboran activamente con el OGD.</t>
  </si>
  <si>
    <t>Evalúa si la entidad identifica, formaliza y mantiene actualizado un registro de Dueños de Datos (responsables de la exactitud y calidad, conforme al DS 029-2021-PCM Art. 68.5) y Custodios de Datos (responsables de la ejecución técnica de su cuidado), con responsabilidades incorporadas en documentos formales.</t>
  </si>
  <si>
    <t>Se espera que Dueños y Custodios estén plenamente empoderados, con su desempeño evaluado periódicamente y en colaboración activa con el OGD. La mejora implica formalizar el registro y distinguir con precisión ambos roles. Ejemplo: La Dirección de Recursos Humanos es dueña del dato "Empleado" (responde por su exactitud), mientras que el equipo de TI es Custodio (responde por su disponibilidad y seguridad técnica).</t>
  </si>
  <si>
    <t>3.6</t>
  </si>
  <si>
    <t>Equipos técnicos especializados</t>
  </si>
  <si>
    <t>¿Cuál es el nivel de fortalecimiento o creación de equipos técnicos especializados en gestión, calidad, seguridad digital, ciencia y/o análisis de datos, entre otras?</t>
  </si>
  <si>
    <t>No existen equipos técnicos especializados.</t>
  </si>
  <si>
    <t>Existen individuos con conocimientos dispersos, sin equipos formalizados.</t>
  </si>
  <si>
    <t>Se identifican necesidades de personal especializado y se inician esfuerzos de capacitación o contratación, como paso previo a la conformación de equipos formales.</t>
  </si>
  <si>
    <t>Se han conformado o fortalecido equipos técnicos especializados.</t>
  </si>
  <si>
    <t>Los equipos están operativos y su desempeño es monitoreado, con planes de desarrollo continuo.</t>
  </si>
  <si>
    <t>La entidad cuenta con equipos altamente especializados, motor de innovación en el manejo de datos.</t>
  </si>
  <si>
    <t>Evalúa el nivel de fortalecimiento o creación de equipos técnicos especializados en gestión, calidad, seguridad digital, ciencia y/o análisis de datos, entre otras disciplinas relevantes para el gobierno de datos.</t>
  </si>
  <si>
    <t>Se espera que la entidad cuente con equipos altamente especializados que actúen como motor de innovación en el manejo de datos. La mejora implica identificar necesidades de capacitación o contratación y establecer planes de desarrollo continuo. Ejemplo: La Oficina de Gobierno de Datos incorpora un especialista en calidad de datos y capacita a su equipo en herramientas de perfilado de datos.</t>
  </si>
  <si>
    <t>3.7</t>
  </si>
  <si>
    <t>Políticas de propiedad de datos</t>
  </si>
  <si>
    <t>¿En qué grado se han formalizado políticas sobre la propiedad de los datos, revisadas y aprobadas por el Comité?</t>
  </si>
  <si>
    <t>No existen políticas sobre propiedad de datos.</t>
  </si>
  <si>
    <t>Existen criterios informales o dispersos.</t>
  </si>
  <si>
    <t>Se están desarrollando, sin formalizar ni aplicar consistentemente.</t>
  </si>
  <si>
    <t>Se han elaborado, formalizado y aprobado por el Comité.</t>
  </si>
  <si>
    <t>Se revisan y actualizan periódicamente y su implementación es monitoreada.</t>
  </si>
  <si>
    <t>Están plenamente arraigadas en la cultura organizacional, con actualización continua.</t>
  </si>
  <si>
    <t>Evalúa la formalización de políticas sobre la propiedad de los datos —quién tiene autoridad de decisión sobre cada dominio de datos—, revisadas y aprobadas por el Comité de Gobierno y Transformación Digital.</t>
  </si>
  <si>
    <t>Se espera que la política de propiedad esté plenamente arraigada en la cultura organizacional, con actualización continua. La mejora implica formalizar y aprobar la política, distinguiéndose del Glosario de datos (que se evalúa aparte, en 4.8). Ejemplo: El Comité aprueba una Política de Propiedad de Datos que asigna a cada Dirección la propiedad de los dominios de datos que produce.</t>
  </si>
  <si>
    <t>3.8</t>
  </si>
  <si>
    <t>Políticas de uso, distribución, retención y eliminación de datos</t>
  </si>
  <si>
    <t>¿En qué grado se han formalizado políticas de uso, distribución, retención y eliminación de datos, alineadas con las normas emitidas por el Archivo General de la Nación (AGN), y aprobadas por el Comité de Gobierno y Transformación Digital?</t>
  </si>
  <si>
    <t>No existen estas políticas.</t>
  </si>
  <si>
    <t>Existen prácticas informales, sin alineación con las normas del AGN.</t>
  </si>
  <si>
    <t>Se están desarrollando, sin formalizar ni alinear aún con las normas del AGN.</t>
  </si>
  <si>
    <t>Se han elaborado, formalizado y aprobado políticas de uso, distribución, retención y eliminación de datos, y se encuentran alineadas con las normas de gestión archivística digital del AGN.</t>
  </si>
  <si>
    <t>Están plenamente arraigadas, con los conflictos que surjan de su aplicación resueltos conforme a los procedimientos establecidos, sin demoras significativas.</t>
  </si>
  <si>
    <t>Evalúa la formalización de políticas de uso, distribución, retención y eliminación de datos, alineadas con las normas de gestión archivística digital que emite el Archivo General de la Nación (AGN, conforme al Art. 52 del DS 029-2021-PCM), y aprobadas por el Comité.</t>
  </si>
  <si>
    <t>Se espera que estas políticas estén plenamente arraigadas, con los conflictos que surjan de su aplicación resueltos conforme a los procedimientos establecidos, sin demoras significativas. La mejora implica formalizar las políticas alineándose explícitamente con las normas vigentes del AGN. Ejemplo: La entidad aprueba su Política de Retención y Eliminación de Datos citando el cronograma de retención documental emitido por el AGN.</t>
  </si>
  <si>
    <t>3.9</t>
  </si>
  <si>
    <t>Ética de datos</t>
  </si>
  <si>
    <t>¿Cómo se promueve y asegura la gestión ética de los datos y las tecnologías digitales en la entidad?</t>
  </si>
  <si>
    <t>No hay directrices ni políticas explícitas sobre ética de datos.</t>
  </si>
  <si>
    <t>Se aborda de forma reactiva, solo ante incidentes.</t>
  </si>
  <si>
    <t>Se inician conversaciones o guías iniciales sobre uso ético.</t>
  </si>
  <si>
    <t>Existen políticas y procedimientos formales de gestión ética de datos y de las tecnologías digitales utilizadas en la entidad.</t>
  </si>
  <si>
    <t>La gestión ética se monitorea activamente, con capacitaciones recurrentes.</t>
  </si>
  <si>
    <t>La ética de datos está plenamente integrada en la cultura organizacional, con revisiones periódicas y compromiso proactivo con las mejores prácticas —incluyendo, cuando corresponda, la adopción del Modelo de Uso Ético de Datos (SGTD) como marco de referencia.</t>
  </si>
  <si>
    <t>Evalúa cómo se promueve y asegura la gestión ética de los datos y las tecnologías digitales en la entidad, mediante directrices y políticas explícitas más allá de respuestas reactivas ante incidentes.</t>
  </si>
  <si>
    <t>Se espera que la ética de datos esté plenamente integrada en la cultura organizacional, con revisiones periódicas y compromiso proactivo con las mejores prácticas —incluyendo, cuando corresponda, la adopción del Modelo de Uso Ético de Datos de la SGTD como marco de referencia, sin que su adopción sea el único camino válido hacia la madurez. Ejemplo: La entidad aprueba una política interna de ética de datos y realiza capacitaciones recurrentes, complementando o adoptando el modelo de la SGTD.</t>
  </si>
  <si>
    <t>3.10</t>
  </si>
  <si>
    <t>Capacitación y alfabetización institucional en datos</t>
  </si>
  <si>
    <t>¿En qué medida se implementan programas de capacitación regular en gobierno y gestión de datos, incluyendo IA, y se amplían programas de alfabetización de datos a nivel institucional?</t>
  </si>
  <si>
    <t>No se ofrecen capacitaciones ni programas de alfabetización de datos.</t>
  </si>
  <si>
    <t>Las capacitaciones de datos son esporádicas o autodirigidas.</t>
  </si>
  <si>
    <t>Se desarrollan algunos programas de capacitación de datos, con alcance limitado.</t>
  </si>
  <si>
    <t>Se implementan programas regulares de capacitación de datos, incluyendo IA, y se inician programas de alfabetización de datos dirigidos a empleados de la entidad.</t>
  </si>
  <si>
    <t>Se monitorea el impacto y se amplían los programas de alfabetización de datos a nuevas áreas.</t>
  </si>
  <si>
    <t>La capacitación de datos es un pilar estratégico institucional, con una cultura de alfabetización de datos consolidada en toda la entidad.</t>
  </si>
  <si>
    <t>Evalúa la implementación de programas de capacitación regular en gobierno y gestión de datos —incluyendo IA— y la ampliación de programas de alfabetización de datos a nivel institucional.</t>
  </si>
  <si>
    <t>Se espera una cultura de alfabetización de datos consolidada en toda la entidad, con capacitación como pilar estratégico institucional. La mejora implica implementar programas regulares y ampliar su alcance progresivamente. Ejemplo: La entidad diseña un currículo de capacitación por niveles (básico, intermedio, avanzado) y lo aplica de forma regular a todo el personal.</t>
  </si>
  <si>
    <t>3.11</t>
  </si>
  <si>
    <t>Plan de comunicación y sensibilización</t>
  </si>
  <si>
    <t>¿En qué grado se ha diseñado e implementado un plan de comunicación y sensibilización continuo sobre la importancia y beneficios del gobierno de datos?</t>
  </si>
  <si>
    <t>No hay plan de comunicación o sensibilización.</t>
  </si>
  <si>
    <t>La comunicación es informal y esporádica.</t>
  </si>
  <si>
    <t>Se inician esfuerzos, sin plan formal.</t>
  </si>
  <si>
    <t>Se ha diseñado e implementado un plan continuo de comunicación y sensibilización sobre el gobierno de datos.</t>
  </si>
  <si>
    <t>El plan es monitoreado en su efectividad, con aumento demostrado del conocimiento.</t>
  </si>
  <si>
    <t>La comunicación es proactiva y está arraigada en la cultura organizacional.</t>
  </si>
  <si>
    <t>Evalúa el diseño e implementación de un plan de comunicación y sensibilización continuo sobre la importancia y los beneficios del gobierno de datos en toda la organización.</t>
  </si>
  <si>
    <t>Se espera que la comunicación sea proactiva y esté arraigada en la cultura organizacional. La mejora implica diseñar un plan formal con objetivos, mensajes clave, públicos y canales definidos. Ejemplo: La entidad lanza un boletín interno mensual sobre los avances y beneficios del gobierno de datos, dirigido a todo el personal.</t>
  </si>
  <si>
    <t>3.12</t>
  </si>
  <si>
    <t>Definición del modelo operativo de gobierno de datos</t>
  </si>
  <si>
    <t>¿La entidad ha definido y formalizado su modelo operativo de gobierno de datos (centralizado, descentralizado, federado o híbrido), con roles y responsabilidades claramente distribuidos entre el nivel central y las unidades orgánicas o procesos?</t>
  </si>
  <si>
    <t>La entidad no ha definido ningún modelo operativo de gobierno de datos.</t>
  </si>
  <si>
    <t>Existe una distribución de responsabilidades informal o inconsistente, sin un modelo definido.</t>
  </si>
  <si>
    <t>La entidad está definiendo su modelo operativo, con roles parcialmente distribuidos.</t>
  </si>
  <si>
    <t>La entidad ha definido y formalizado su modelo operativo de gobierno de datos, con roles y responsabilidades claras entre el nivel central y las unidades orgánicas o procesos.</t>
  </si>
  <si>
    <t>El modelo operativo se aplica de forma efectiva y su coordinación es monitoreada.</t>
  </si>
  <si>
    <t>El modelo operativo es dinámico, se ajusta a las necesidades de la entidad y, cuando corresponde, se alinea activamente con los lineamientos del Modelo de Gobierno de Datos Federado de la SGTD para garantizar consistencia con los estándares nacionales.</t>
  </si>
  <si>
    <t>Evalúa si la entidad ha definido y formalizado su modelo operativo de gobierno de datos (centralizado, descentralizado, federado o híbrido), con roles y responsabilidades distribuidos entre el nivel central y las unidades orgánicas. Cada entidad puede optar por el modelo operativo que mejor se adapte a su capacidad y estructura; el Modelo de Gobierno de Datos Federado que adoptará la SGTD a nivel nacional (ENGD, Acción A.1.1.3) es una referencia a seguir cuando corresponda, no un modelo obligatorio.</t>
  </si>
  <si>
    <t>Se espera un modelo operativo dinámico que se ajuste a las necesidades de la entidad y, cuando corresponda, se alinee con los lineamientos del Modelo de Gobierno de Datos Federado de la SGTD. La mejora implica definir formalmente el modelo, sin que un modelo federado sea obligatorio para todas las entidades. Ejemplo: Una entidad pequeña formaliza un modelo centralizado bajo la Oficina de Gobierno de Datos; una entidad con múltiples direcciones regionales adopta un modelo federado alineado con la SGTD.</t>
  </si>
  <si>
    <t>3.13</t>
  </si>
  <si>
    <t>Gestión del ciclo de vida del contenido no estructurado</t>
  </si>
  <si>
    <t>¿La entidad posee políticas formales para la gestión del ciclo de vida del contenido no estructurado (documentos, archivos, correos electrónicos), incluyendo taxonomías de clasificación y políticas de retención y disposición, alineadas con las normas de gestión archivística digital?</t>
  </si>
  <si>
    <t>No existen políticas para la gestión del contenido no estructurado.</t>
  </si>
  <si>
    <t>Se gestionan los documentos de forma manual o informal, sin taxonomías ni políticas de retención.</t>
  </si>
  <si>
    <t>Se desarrollan taxonomías y políticas de retención de forma incompleta.</t>
  </si>
  <si>
    <t>Existen políticas formales, con taxonomías de clasificación y políticas de retención/disposición alineadas con las normas del AGN.</t>
  </si>
  <si>
    <t>Las taxonomías y políticas se aplican consistentemente en todos los repositorios de contenido no estructurado, con indicadores de cumplimiento (ej. % de documentos correctamente clasificados) monitoreados periódicamente.</t>
  </si>
  <si>
    <t>La gestión está integrada al gobierno de datos, con herramientas automatizadas de clasificación, archivo y purga.</t>
  </si>
  <si>
    <t>Evalúa la existencia de políticas formales para la gestión del ciclo de vida del contenido no estructurado (documentos, archivos, correos electrónicos) —distinto de los datos estructurados evaluados en 3.8—, incluyendo taxonomías de clasificación y políticas de retención y disposición alineadas con el Archivo General de la Nación (AGN, conforme al Art. 52 del DS 029-2021-PCM).</t>
  </si>
  <si>
    <t>Se espera una gestión integrada al gobierno de datos, con herramientas automatizadas de clasificación, archivo y purga. La mejora implica formalizar taxonomías documentales y políticas de retención específicas para este tipo de contenido. Ejemplo: La entidad implementa un gestor documental que clasifica automáticamente los correos institucionales según su vigencia legal, conforme al cronograma de retención del AGN.</t>
  </si>
  <si>
    <t>3.14</t>
  </si>
  <si>
    <t>Procedimientos de escalamiento y resolución de conflictos sobre datos</t>
  </si>
  <si>
    <t>¿Se han definido e implementado procedimientos formales para identificar, escalar y resolver conflictos y decisiones críticas relacionadas con datos, a través de la estructura de gobernanza de la entidad (Comité, OGD)?</t>
  </si>
  <si>
    <t>No existe ninguna forma de identificar o resolver conflictos relacionados con datos.</t>
  </si>
  <si>
    <t>Los conflictos se resuelven de forma ad-hoc, sin procedimiento definido.</t>
  </si>
  <si>
    <t>Existe una práctica informal o un procedimiento en borrador para identificar y escalar conflictos.</t>
  </si>
  <si>
    <t>Se cuenta con un procedimiento formal y documentado para identificar, escalar y resolver conflictos y decisiones críticas sobre datos, ejecutado a través de la estructura de gobernanza (Comité, OGD).</t>
  </si>
  <si>
    <t>El procedimiento se aplica de forma consistente y su efectividad es monitoreada.</t>
  </si>
  <si>
    <t>La gestión de conflictos es proactiva, anticipando riesgos de coordinación entre áreas antes de que generen escalamientos.</t>
  </si>
  <si>
    <t>Evalúa si la entidad ha definido e implementado procedimientos formales para identificar, escalar y resolver conflictos y decisiones críticas relacionadas con datos, ejecutados a través de su estructura de gobernanza (Comité, OGD) —no por el PAGD, que es un documento de planificación, no un mecanismo de resolución (ENGD, Acción A.1.2.6).</t>
  </si>
  <si>
    <t>Se espera una gestión de conflictos proactiva, que anticipe riesgos de coordinación entre áreas antes de que generen escalamientos. La mejora implica definir el procedimiento y su ruta de escalamiento dentro de la estructura de gobernanza existente. Ejemplo: Ante una discrepancia sobre la definición del dato "domicilio", el procedimiento establece que el conflicto se escala al OGD y, de no resolverse, al Comité.</t>
  </si>
  <si>
    <t>3.15</t>
  </si>
  <si>
    <t>Designación y formalización del OSCD</t>
  </si>
  <si>
    <t>¿Se ha designado formalmente a un Oficial de Seguridad y Confianza Digital (OSCD), para coordinar el SGSI y la seguridad digital institucional?</t>
  </si>
  <si>
    <t>No se ha designado un OSCD.</t>
  </si>
  <si>
    <t>Se ha asignado la responsabilidad de OSCD, sin formalización ni comunicación a la SGTD.</t>
  </si>
  <si>
    <t>El OSCD existe, pero carece de autoridad o recursos para cumplir plenamente sus funciones.</t>
  </si>
  <si>
    <t>El OSCD ha sido designado formalmente, comunicado a la SGTD, y ejerce sus responsabilidades con funciones documentadas.</t>
  </si>
  <si>
    <t>El OSCD coordina activamente el SGSI y reporta formalmente al Comité, con su rol reconocido institucionalmente.</t>
  </si>
  <si>
    <t>El OSCD es un líder estratégico en seguridad digital, referente institucional, con alta integración con la gestión de riesgos.</t>
  </si>
  <si>
    <t>Evalúa la formalización de la designación del Oficial de Seguridad y Confianza Digital (OSCD) —nombre vigente del rol creado como "Oficial de Seguridad Digital" por el Art. 111.3 del DS 029-2021-PCM y renombrado por la Tercera Disposición Complementaria del DS 157-2021-PCM—, con funciones documentadas para coordinar el Sistema de Gestión de Seguridad de la Información (SGSI) y la seguridad digital institucional.</t>
  </si>
  <si>
    <t>Se espera un OSCD reconocido institucionalmente como líder estratégico en seguridad digital, con alta integración con la gestión de riesgos. La mejora implica designar formalmente al OSCD y comunicar la designación a la SGTD. Ejemplo: La Resolución de designación del OSCD cita el DS 157-2021-PCM y detalla su responsabilidad de coordinar el SGSI institucional.</t>
  </si>
  <si>
    <t>3.16</t>
  </si>
  <si>
    <t>Coordinación sectorial del gobierno de datos</t>
  </si>
  <si>
    <t>¿El ministerio, en su calidad de ente rector del Sector, promueve y coordina —a través de su OGD y Líder de Gobierno y Transformación Digital— la incorporación de objetivos y acciones de gobierno de datos en el Plan Estratégico Sectorial Multianual (PESEM), alineados con la ENGD?</t>
  </si>
  <si>
    <t>No se ha iniciado ninguna coordinación sectorial de gobierno de datos.</t>
  </si>
  <si>
    <t>Existen coordinaciones informales con entidades del sector, sin vínculo con el PESEM.</t>
  </si>
  <si>
    <t>Se están definiendo los objetivos sectoriales de gobierno de datos a incorporar en el PESEM.</t>
  </si>
  <si>
    <t>El PESEM incorpora formalmente objetivos y acciones de gobierno de datos, alineados con la ENGD.</t>
  </si>
  <si>
    <t>El OGD y el Líder de GTD del ministerio monitorean activamente el avance de las entidades del sector en sus respectivos PAGD.</t>
  </si>
  <si>
    <t>La coordinación sectorial es proactiva, con mecanismos formales de articulación (ej. mesas técnicas sectoriales) que impulsan la madurez conjunta del sector.</t>
  </si>
  <si>
    <t>Sí — para toda entidad que no sea ministerio rector de sector (la pregunta aplica solo a ellos).</t>
  </si>
  <si>
    <t>Evalúa una responsabilidad adicional y distinta del gobierno de datos interno de la entidad: la función de coordinación sectorial que la ENGD asigna específicamente a los ministerios que ejercen rectoría de sector (RM 049-2026-PCM, Art. 4.2 y 6.3). Estos ministerios deben asegurar que el Plan Estratégico Sectorial Multianual (PESEM) incorpore objetivos de gobierno de datos alineados con la ENGD, y su OGD/Líder de GTD deben promover y coordinar esa implementación entre las entidades del sector. Esta pregunta aplica únicamente a ministerios rectores de sector — para el resto de entidades públicas, corresponde marcar "No Aplica".</t>
  </si>
  <si>
    <t>Se espera una coordinación sectorial proactiva, con mecanismos formales de articulación que impulsen la madurez conjunta del sector. La mejora implica incorporar formalmente objetivos de gobierno de datos en el PESEM y monitorear el avance de las entidades del sector. Ejemplo: El Ministerio de Salud, como rector del sector, incorpora en su PESEM un objetivo de interoperabilidad de historias clínicas digitales, y su OGD coordina periódicamente con los OGD de EsSalud y las DIRESAs el avance de sus respectivos PAGD hacia ese objetivo.</t>
  </si>
  <si>
    <t>D4. ARQUITECTURA DE DATOS</t>
  </si>
  <si>
    <t>4.1</t>
  </si>
  <si>
    <t>Identificación, inventario y mantenimiento de datos maestros</t>
  </si>
  <si>
    <t>¿En qué medida la entidad identifica, inventaría y mantiene actualizados sus datos maestros, incluyendo sus atributos, relaciones, ubicación y origen?</t>
  </si>
  <si>
    <t>No se ha identificado ni inventariado ningún dato maestro.</t>
  </si>
  <si>
    <t>La identificación es informal o incompleta, sin inventario.</t>
  </si>
  <si>
    <t>Se elabora un inventario preliminar de datos maestros.</t>
  </si>
  <si>
    <t>Se ha realizado un proceso exhaustivo de identificación, con inventario documentado de atributos y relaciones para los datos maestros.</t>
  </si>
  <si>
    <t>El inventario es completo, detallado y preciso (atributos, relaciones, ubicación, origen, uso), y se actualiza regularmente.</t>
  </si>
  <si>
    <t>El inventario está optimizado, siendo la fuente de referencia institucional para la gestión de datos.</t>
  </si>
  <si>
    <t>Evalúa la identificación, inventario y mantenimiento actualizado de los datos maestros de la entidad —conforme a la definición del Art. 70.2 del DS 029-2021-PCM—, incluyendo sus atributos, relaciones, ubicación y origen. No incluye los datos complementarios (Art. 70.3), que no llevan obligación normativa de inventario asociada.</t>
  </si>
  <si>
    <t>Se espera un inventario optimizado que sea la fuente de referencia institucional para la gestión de datos. La mejora implica pasar de una identificación informal a un proceso exhaustivo y documentado. Ejemplo: La entidad documenta que "Ciudadano" es un dato maestro, con atributos (DNI, nombre, domicilio), relaciones con otros dominios, y su sistema de origen.</t>
  </si>
  <si>
    <t>4.2</t>
  </si>
  <si>
    <t>Metodología de identificación y estandarización de identificadores únicos</t>
  </si>
  <si>
    <t>¿La entidad cuenta con una metodología formal para la identificación, clasificación e inventario de datos, y ha definido identificadores únicos para sus datos maestros?</t>
  </si>
  <si>
    <t>No existe metodología ni identificadores únicos definidos.</t>
  </si>
  <si>
    <t>Se usan métodos basados en la experiencia operativa de cada área, con identificadores únicos no formalizados.</t>
  </si>
  <si>
    <t>La metodología está en desarrollo, orientada a transitar hacia una definición homologada de identificadores.</t>
  </si>
  <si>
    <t>Existe metodología documentada para la identificación, clasificación e inventario de datos, y los identificadores únicos están definidos, documentados y en uso.</t>
  </si>
  <si>
    <t>La metodología y los identificadores se aplican consistentemente en todos los procesos.</t>
  </si>
  <si>
    <t>Están alineados con estándares nacionales e internacionales, garantizando un inventario preciso y actualizado.</t>
  </si>
  <si>
    <t>Evalúa si la entidad cuenta con una metodología formal para la identificación, clasificación e inventario de datos, y ha definido identificadores únicos para sus datos maestros, conforme al Art. 70.2 del DS 029-2021-PCM.</t>
  </si>
  <si>
    <t>Se espera que la metodología y los identificadores estén alineados con estándares nacionales e internacionales. La mejora implica documentar la metodología y mantener los identificadores en uso. Ejemplo: La entidad define el DNI como identificador único del dato maestro "Ciudadano" y documenta la metodología de asignación de identificadores para nuevos dominios.</t>
  </si>
  <si>
    <t>4.3</t>
  </si>
  <si>
    <t>Modelo de Referencia de Datos (MRD) institucional y dominios lógicos</t>
  </si>
  <si>
    <t>¿La entidad ha desarrollado su Modelo de Referencia de Datos (MRD) institucional, conforme al Art. 70.4 del DS 029-2021-PCM, identificando y documentando los dominios lógicos de datos?</t>
  </si>
  <si>
    <t>No se ha desarrollado el MRD ni identificado dominios lógicos.</t>
  </si>
  <si>
    <t>Existen esfuerzos informales hacia un MRD, orientados a avanzar hacia la documentación de sus dominios lógicos.</t>
  </si>
  <si>
    <t>El MRD está en desarrollo, con algunos dominios identificados en proceso de formalización documental.</t>
  </si>
  <si>
    <t>Se cuenta con un MRD documentado, con dominios lógicos identificados e inventariados.</t>
  </si>
  <si>
    <t>El MRD cuenta con un proceso formal de actualización y gobierno de cambios, y se verifica su aplicación en el diseño de nuevos sistemas de información.</t>
  </si>
  <si>
    <t>El MRD se usa activamente para clasificación, calidad, apertura y reutilización de datos.</t>
  </si>
  <si>
    <t>Evalúa el desarrollo del Modelo de Referencia de Datos (MRD) institucional, conforme al Art. 70.4 del DS 029-2021-PCM, identificando y documentando los dominios lógicos de datos. El MRD se construye mediante el análisis y documentación retrospectiva de los sistemas de información ya en operación (Art. 118.1 del mismo decreto) — no requiere partir de sistemas nuevos; una entidad con sistemas legacy puede y debe documentar su MRD a partir de ellos.</t>
  </si>
  <si>
    <t>Se espera que el MRD se use activamente para clasificación, calidad, apertura y reutilización de datos. La mejora implica desarrollar el MRD mapeando los sistemas existentes, no rediseñándolos. Ejemplo: La entidad documenta su MRD identificando los dominios "Ciudadano", "Predio" y "Trámite" a partir del análisis de sus tres sistemas de información en operación.</t>
  </si>
  <si>
    <t>4.4</t>
  </si>
  <si>
    <t>Modelo de Datos Físico derivado del MRD</t>
  </si>
  <si>
    <t>¿El diseño físico de las bases de datos críticas se deriva del MRD institucional, adaptándose a los requisitos de rendimiento y tecnología utilizada?</t>
  </si>
  <si>
    <t>No existe un MRD; el diseño físico se construye sin base de referencia.</t>
  </si>
  <si>
    <t>El diseño físico se construye de forma independiente del MRD.</t>
  </si>
  <si>
    <t>Se trabaja en alinear el diseño físico con el MRD, de forma progresiva.</t>
  </si>
  <si>
    <t>El diseño físico se deriva del MRD, y esta relación está documentada.</t>
  </si>
  <si>
    <t>La derivación está estandarizada y documentada, incluyendo adaptación tecnológica (RDBMS, NoSQL, Big Data).</t>
  </si>
  <si>
    <t>El MRD es la única fuente para el diseño de todos los modelos físicos críticos.</t>
  </si>
  <si>
    <t>Evalúa si el diseño físico de las bases de datos críticas se deriva del Modelo de Referencia de Datos (MRD) institucional, adaptándose a los requisitos de rendimiento y la tecnología utilizada.</t>
  </si>
  <si>
    <t>Se espera que el MRD sea la única fuente para el diseño de todos los modelos físicos críticos. La mejora implica documentar y estandarizar la relación entre el MRD y los modelos físicos existentes. Ejemplo: El modelo físico de la base de datos de trámites se deriva y documenta explícitamente a partir del dominio lógico "Trámite" del MRD.</t>
  </si>
  <si>
    <t>4.5</t>
  </si>
  <si>
    <t>Solución de Gestión de Datos Maestros (MDM) o Gestión de Datos de Referencia (RDM)</t>
  </si>
  <si>
    <t>¿Cuál es el nivel de implementación de una solución formal de MDM o RDM que proporcione una fuente autorizada y consistente de datos?</t>
  </si>
  <si>
    <t>No existe una solución formal de MDM o RDM.</t>
  </si>
  <si>
    <t>Se usan repositorios primarios como fuente, sin controles centralizados.</t>
  </si>
  <si>
    <t>Se evalúa o implementa parcialmente una solución MDM/RDM.</t>
  </si>
  <si>
    <t>Se ha implementado una solución formal para al menos un dominio de datos crítico.</t>
  </si>
  <si>
    <t>La solución opera en múltiples dominios críticos, y su uso es obligatorio.</t>
  </si>
  <si>
    <t>La gestión MDM/RDM está integrada, automatizada y optimizada institucionalmente.</t>
  </si>
  <si>
    <t>Evalúa el nivel de implementación de una solución formal de Gestión de Datos Maestros (MDM) o Gestión de Datos de Referencia (RDM) que proporcione una fuente autorizada y consistente de datos.</t>
  </si>
  <si>
    <t>Se espera que la gestión MDM/RDM esté integrada, automatizada y optimizada institucionalmente. La mejora implica implementar una solución formal, aunque sea inicialmente para un solo dominio crítico. Ejemplo: La entidad implementa una solución MDM para el dominio "Ciudadano", consolidando los registros dispersos en sus distintos sistemas en una única fuente.</t>
  </si>
  <si>
    <t>4.6</t>
  </si>
  <si>
    <t>Estándares de datos mandatorios</t>
  </si>
  <si>
    <t>¿La entidad define y aplica estándares de datos (ej. formatos, valores permitidos, nomenclatura, entre otros) mandatorios para la creación y uso de sus datos?</t>
  </si>
  <si>
    <t>No existen estándares de datos obligatorios.</t>
  </si>
  <si>
    <t>Existen guías no formalizadas, sin aplicación mandatoria.</t>
  </si>
  <si>
    <t>Los estándares están en definición, en proceso de consolidación y adopción gradual en la operación.</t>
  </si>
  <si>
    <t>La entidad ha definido y formalizado (ej. mediante resolución o documento normativo interno) estándares mandatorios de datos para la creación y uso de sus datos, aunque su aplicación en los sistemas de información aún no sea consistente.</t>
  </si>
  <si>
    <t>Los estándares mandatorios se aplican de forma consistente en la creación y uso de los datos de la entidad, se integran a la documentación, y están alineados con estándares nacionales e internacionales.</t>
  </si>
  <si>
    <t>El cumplimiento es automatizado, monitoreado y riguroso en todo desarrollo tecnológico.</t>
  </si>
  <si>
    <t>Evalúa si la entidad define y aplica estándares de datos (ej. formatos, valores permitidos, nomenclatura, entre otros) mandatorios para la creación y uso de sus datos, de alcance institucional — no acotado a los datos maestros, a diferencia de 4.1/4.3/4.4/4.5 (acotadas por el Art. 70.4 del DS 029-2021-PCM, que solo exige modelar el MRD para datos maestros). Un estándar de datos, como práctica de gestión, típicamente se define y aplica de forma transversal a todo el universo de datos de la entidad, no solo a su subconjunto de datos maestros.</t>
  </si>
  <si>
    <t>Se espera que el cumplimiento de los estándares sea automatizado, monitoreado y riguroso en todo desarrollo tecnológico. La mejora implica formalizar los estándares (nivel 3) y aplicarlos de forma consistente (nivel 4). Ejemplo: La entidad define que el campo "fecha" debe seguir el formato ISO 8601 en todos sus sistemas, y lo verifica en cada nuevo desarrollo.</t>
  </si>
  <si>
    <t>4.7</t>
  </si>
  <si>
    <t>Adopción de vocabularios básicos normativos</t>
  </si>
  <si>
    <t>¿La entidad adopta los vocabularios básicos establecidos por la SGTD en el diseño de sus sistemas de información?</t>
  </si>
  <si>
    <t>No se han adoptado los vocabularios básicos de la SGTD.</t>
  </si>
  <si>
    <t>La adopción es esporádica o por iniciativa individual.</t>
  </si>
  <si>
    <t>Se están promoviendo los vocabularios básicos, con adopción progresiva.</t>
  </si>
  <si>
    <t>La entidad ha adoptado formalmente los vocabularios básicos en sus sistemas de información.</t>
  </si>
  <si>
    <t>La adopción es monitoreada y se verifica en el diseño de nuevos sistemas.</t>
  </si>
  <si>
    <t>La entidad lidera la adopción de vocabularios extendidos, más allá de los básicos exigidos.</t>
  </si>
  <si>
    <t>Evalúa la adopción de los vocabularios básicos establecidos por la SGTD en el diseño de los sistemas de información de la entidad (DS 029-2021-PCM, Art. 73).</t>
  </si>
  <si>
    <t>Los vocabularios básicos vigentes a la fecha son: persona natural, persona jurídica, vehículo, predio y trámite (Art. 73.2, DS 029-2021-PCM). La SGTD puede ampliar este listado mediante Resolución de Secretaría de Gobierno Digital; las ampliaciones futuras quedan cubiertas por esta pregunta sin requerir su reformulación. Mientras la SGTD no publique formalmente el contenido de un vocabulario básico, el nivel 3 se evalúa contra la adopción de un vocabulario institucional propio, documentado y consistente con los dominios señalados, en espera de su homologación con el vocabulario oficial una vez publicado. Se espera que la entidad lidere la adopción de vocabularios extendidos, más allá de los básicos exigidos.</t>
  </si>
  <si>
    <t>4.8</t>
  </si>
  <si>
    <t>Glosario institucional de datos</t>
  </si>
  <si>
    <t>¿La entidad mantiene un Glosario institucional de datos, centralizado y actualizado, con definiciones de negocio consensuadas?</t>
  </si>
  <si>
    <t>No existe un Glosario institucional de datos.</t>
  </si>
  <si>
    <t>Existe un listado de términos sin definiciones claras ni consenso.</t>
  </si>
  <si>
    <t>Se inicia la elaboración del Glosario, sin centralizar ni aprobar.</t>
  </si>
  <si>
    <t>Se mantiene un Glosario institucional centralizado y aprobado, con definiciones de negocio consensuadas.</t>
  </si>
  <si>
    <t>Cada definición del Glosario está vinculada a los sistemas o repositorios donde el dato correspondiente se implementa, y se revisa periódicamente para mantener su vigencia.</t>
  </si>
  <si>
    <t>El Glosario es pilar de la coherencia semántica institucional, mantenido y actualizado con herramientas de gestión de metadatos.</t>
  </si>
  <si>
    <t>Evalúa si la entidad mantiene un Glosario institucional de datos, centralizado y actualizado, con definiciones de negocio consensuadas —distinto de los vocabularios básicos normativos, evaluados en 4.7.</t>
  </si>
  <si>
    <t>Se espera que el Glosario sea pilar de la coherencia semántica institucional, mantenido y actualizado con herramientas de gestión de metadatos. La mejora implica centralizar y aprobar formalmente el Glosario. Ejemplo: La entidad publica un Glosario institucional con 150 términos de negocio consensuados entre las áreas, accesible a todo el personal.</t>
  </si>
  <si>
    <t>4.9</t>
  </si>
  <si>
    <t>Taxonomías y ontologías de dominios de datos</t>
  </si>
  <si>
    <t>¿Se han definido, documentado y se actualizan periódicamente las taxonomías y ontologías de los dominios de datos?</t>
  </si>
  <si>
    <t>No existen taxonomías ni ontologías definidas.</t>
  </si>
  <si>
    <t>Se usan clasificaciones orientadas a necesidades específicas de la gestión o de uso focalizado.</t>
  </si>
  <si>
    <t>Se desarrollan taxonomías básicas u ontologías, sin documentación ni actualización.</t>
  </si>
  <si>
    <t>Se documentan las taxonomías y ontologías, con proceso establecido de actualización regular.</t>
  </si>
  <si>
    <t>Se publican y son utilizadas por los sistemas de información.</t>
  </si>
  <si>
    <t>Están verificadas por expertos y alineadas con estándares nacionales e internacionales.</t>
  </si>
  <si>
    <t>Evalúa la definición, documentación y actualización periódica de las taxonomías y ontologías de los dominios de datos de la entidad, para lograr coherencia y entendimiento común.</t>
  </si>
  <si>
    <t>Se espera que las taxonomías estén verificadas por expertos y alineadas con estándares nacionales e internacionales. La mejora implica documentar y establecer un proceso de actualización regular. Ejemplo: La entidad documenta la taxonomía de clasificación de sus trámites por tipo, materia y nivel de complejidad, revisándola anualmente.</t>
  </si>
  <si>
    <t>4.10</t>
  </si>
  <si>
    <t>Gestión de metadatos técnicos/operativos y catálogos nacionales</t>
  </si>
  <si>
    <t>¿La entidad elabora metadatos cumpliendo los perfiles mínimos establecidos por la SGTD para cada ámbito aplicable (Art. 74, DS 029-2021-PCM), utiliza herramientas de gestión de metadatos, y registra sus metadatos en los catálogos nacionales correspondientes?</t>
  </si>
  <si>
    <t>No se elaboran metadatos de forma sistemática.</t>
  </si>
  <si>
    <t>El registro es esporádico o incompleto, sin una práctica consistente de documentación de metadatos.</t>
  </si>
  <si>
    <t>Se inician procesos de registro, con integración limitada a catálogos nacionales.</t>
  </si>
  <si>
    <t>La entidad documenta sus metadatos de forma institucional y los registra en el catálogo nacional que corresponda a su ámbito.</t>
  </si>
  <si>
    <t>Se usan herramientas específicas de gestión de metadatos, aplicando los estándares de cada ámbito, con revisión periódica.</t>
  </si>
  <si>
    <t>Los metadatos se gestionan proactivamente, facilitando la interoperabilidad e integración con catálogos nacionales.</t>
  </si>
  <si>
    <t>Evalúa si la entidad elabora metadatos cumpliendo los perfiles mínimos establecidos por la SGTD para cada ámbito aplicable (Art. 74, DS 029-2021-PCM) —a la fecha, publicado solo para el ámbito espacial (Art. 78)—, utiliza herramientas de gestión de metadatos aplicando los estándares correspondientes a cada ámbito, y registra sus metadatos en los catálogos nacionales correspondientes.</t>
  </si>
  <si>
    <t>El perfil mínimo de metadatos general (Art. 74, DS 029-2021-PCM) se encuentra en desarrollo por la SGTD y, a la fecha, solo está publicado para el ámbito espacial (Art. 78). Mientras no se publique el perfil general, el cumplimiento se evalúa contra la práctica institucional de metadatos de la entidad; una vez publicado, el nivel 3 exigirá su cumplimiento explícito. Se espera que los metadatos se gestionen proactivamente, facilitando la interoperabilidad e integración con catálogos nacionales. Ejemplo: La entidad documenta para cada conjunto de datos su origen, significado, formato, responsable y vigencia; registra sus capas geográficas en el Catálogo Nacional de Metadatos Espaciales aplicando ISO 19115, y describe sus datos abiertos con Dublin Core o DCAT-AP.</t>
  </si>
  <si>
    <t>4.11</t>
  </si>
  <si>
    <t>Linaje y flujo de datos</t>
  </si>
  <si>
    <t>¿Se cuenta con especificaciones documentadas del flujo de datos y el linaje (origen y movimiento) de los datos maestros entre sistemas?</t>
  </si>
  <si>
    <t>No existen especificaciones de flujo ni linaje.</t>
  </si>
  <si>
    <t>El flujo cuenta con un reconocimiento técnico interno en el equipo de TI, avanzando hacia su formalización documental.</t>
  </si>
  <si>
    <t>Se documentan preliminarmente los flujos, con trazabilidad incompleta.</t>
  </si>
  <si>
    <t>Se han definido y documentado los flujos de datos maestros, desde su creación hasta su eliminación.</t>
  </si>
  <si>
    <t>La documentación de los flujos se mantiene actualizada ante cambios en los sistemas, y permite identificar el impacto de modificaciones en los datos de origen sobre los sistemas de destino.</t>
  </si>
  <si>
    <t>Los flujos están completamente documentados y auditables.</t>
  </si>
  <si>
    <t>Evalúa si la entidad cuenta con especificaciones documentadas del flujo de datos y el linaje (origen y movimiento) de los datos maestros entre sistemas. Acotada a "datos maestros" por consistencia con el resto de D4 (el linaje depende del MRD que construyen 4.1/4.3).</t>
  </si>
  <si>
    <t>Se espera que los flujos estén completamente documentados y auditables. La mejora implica documentar el linaje desde la creación hasta la eliminación del dato. Ejemplo: La entidad documenta que el dato "DNI del ciudadano" se origina en RENIEC (vía PIDE), se almacena en el sistema de trámites, y se replica al Data Warehouse institucional.</t>
  </si>
  <si>
    <t>4.12</t>
  </si>
  <si>
    <t>Gobierno de la arquitectura de datos</t>
  </si>
  <si>
    <t>¿El gobierno de la arquitectura de datos está implementado y alineado con los procesos institucionales y de TI?</t>
  </si>
  <si>
    <t>No existe un marco de gobierno de la arquitectura de datos.</t>
  </si>
  <si>
    <t>Las decisiones de arquitectura son reactivas, sin marco de gobierno formal.</t>
  </si>
  <si>
    <t>Se está definiendo el marco de gobierno, con alineación incipiente a los procesos institucionales y de TI.</t>
  </si>
  <si>
    <t>Se ha establecido un marco de gobierno de la arquitectura de datos, alineado con los procesos institucionales y de TI.</t>
  </si>
  <si>
    <t>El marco de gobierno exige formalmente que todo desarrollo tecnológico siga los estándares de arquitectura de datos.</t>
  </si>
  <si>
    <t>El marco de gobierno está optimizado, asegurando sinergia negocio-TI en la gestión de datos maestros.</t>
  </si>
  <si>
    <t>Evalúa si el gobierno de la arquitectura de datos está implementado y alineado con los procesos institucionales y de TI, mediante un marco de gobierno formal.</t>
  </si>
  <si>
    <t>Se espera que el marco de gobierno esté optimizado, asegurando sinergia negocio-TI en la gestión de datos maestros. La mejora implica establecer el marco y exigir formalmente su cumplimiento en todo desarrollo tecnológico. Ejemplo: Ningún nuevo sistema de información se pone en producción sin la validación previa de la Oficina de Gobierno de Datos contra el MRD institucional.</t>
  </si>
  <si>
    <t>D5. CALIDAD DE DATOS</t>
  </si>
  <si>
    <t>5.1</t>
  </si>
  <si>
    <t>Marco y Programa de Calidad de Datos</t>
  </si>
  <si>
    <t>¿En qué grado la entidad ha establecido e implementado un Programa de Calidad de Datos (PCD) que defina estándares, controles y métricas de calidad, con roles y responsabilidades formalizadas para dueños y custodios de datos (ENGD, Acción A.2.2.2)?</t>
  </si>
  <si>
    <t>No existen prácticas de calidad de datos, ni formales ni informales.</t>
  </si>
  <si>
    <t>Existen prácticas de calidad aisladas o informales (revisiones manuales, correcciones puntuales), sin estándares documentados ni PCD.</t>
  </si>
  <si>
    <t>Existen prácticas de calidad más consistentes, con algunos estándares definidos de forma informal, aún no consolidadas en un PCD.</t>
  </si>
  <si>
    <t>El PCD ha sido formalizado e integrado al PAGD, con estándares, controles, métricas y responsabilidades asignadas a dueños y custodios de datos.</t>
  </si>
  <si>
    <t>El PCD se gestiona con indicadores de desempeño, cuenta con respaldo de la alta dirección y ha sido socializado con las partes interesadas.</t>
  </si>
  <si>
    <t>El PCD se audita y evalúa periódicamente, retroalimentando de forma continua tanto el programa como el desempeño de sus responsables, en un ciclo de mejora sostenido.</t>
  </si>
  <si>
    <t>Evalúa el establecimiento e implementación de un Programa de Calidad de Datos (PCD) —integrado al PAGD conforme a la Acción A.2.2.2 de la ENGD— que defina estándares, controles y métricas de calidad, con roles y responsabilidades formalizadas para Dueños y Custodios de Datos. El Programa de Calidad de Datos puede nombrarse de acuerdo a los lineamientos internos de cada entidad, siempre que cumpla el contenido mínimo descrito.</t>
  </si>
  <si>
    <t>Se espera que el PCD se evalúe periódicamente, con el desempeño de los responsables de calidad medido y retroalimentado. La mejora implica formalizar el PCD e integrarlo al PAGD, reconociendo que pueden existir prácticas de calidad reales previas a esa formalización. El PCD puede llevar otro nombre a nivel de la entidad (p. ej., "Programa de Gestión de Calidad de Datos"), siempre que cumpla el contenido mínimo de la pregunta — mismo criterio aplicado al PAGD. Son indicadores de desempeño del PCD, por ejemplo, la cobertura de responsabilidades asignadas o el cumplimiento de los controles definidos. Ejemplo: El PCD de la entidad define que los datos "críticos" del padrón de beneficiarios deben tener 0% de duplicados y 95% de completitud, con el Dueño de Datos como responsable.</t>
  </si>
  <si>
    <t>5.2</t>
  </si>
  <si>
    <t>Puntos de control de calidad</t>
  </si>
  <si>
    <t>¿Se han implementado puntos de aseguramiento y control de calidad en todas las etapas del ciclo de vida del dato (ENGD, Acción A.2.2.3)?</t>
  </si>
  <si>
    <t>No existen puntos de control de calidad en el ciclo de vida del dato.</t>
  </si>
  <si>
    <t>Existen verificaciones de calidad informales o puntuales (ej. revisiones manuales), sin puntos de control definidos en el ciclo de vida del dato.</t>
  </si>
  <si>
    <t>Se están definiendo puntos de control, sin cobertura sistemática del ciclo de vida.</t>
  </si>
  <si>
    <t>Se han implementado puntos de control de calidad a lo largo del ciclo de vida del dato, incluyendo reglas de validación en el punto de captura del dato.</t>
  </si>
  <si>
    <t>Los puntos de control se apoyan en evaluaciones automatizadas y periódicas, usando herramientas de diagnóstico.</t>
  </si>
  <si>
    <t>Los puntos de control se apoyan en ciencia de datos e IA para la mejora proactiva y continua.</t>
  </si>
  <si>
    <t>Evalúa la implementación de puntos de aseguramiento y control de calidad en todas las etapas del ciclo de vida del dato —incluyendo reglas de validación en el punto de captura—, conforme a la Acción A.2.2.3 de la ENGD.</t>
  </si>
  <si>
    <t>Las dimensiones de calidad a verificar se alinean con el marco DAMA-DMBOK: completitud, oportunidad (equivalente a la "frescura" de la Acción A.2.2.3 de la ENGD), validez, exactitud y consistencia. La unicidad, sexta dimensión de DAMA-DMBOK, se evalúa de forma independiente en la pregunta 5.4, dado su tratamiento técnico propio (matching y survivorship). La vigencia/actualización específica de los datos maestros y críticos se evalúa con mayor detalle en la pregunta 5.3. Se espera que los puntos de control se apoyen en ciencia de datos e IA para la mejora proactiva y continua. Ejemplo: El formulario de registro de un trámite valida en línea que el campo DNI tenga 8 dígitos antes de permitir guardar el registro.</t>
  </si>
  <si>
    <t>5.3</t>
  </si>
  <si>
    <t>Priorización y vigencia de datos maestros y críticos</t>
  </si>
  <si>
    <t>¿Se prioriza la calidad de los datos maestros y críticos, y se garantiza su actualización y vigencia mediante mecanismos periódicos o automáticos (ENGD, Acción A.2.2.4)?</t>
  </si>
  <si>
    <t>No existe priorización de datos maestros/críticos ni mecanismos de actualización.</t>
  </si>
  <si>
    <t>La actualización es reactiva, sin priorización sistemática.</t>
  </si>
  <si>
    <t>Se están definiendo criterios de priorización, sin mecanismos consistentes de actualización.</t>
  </si>
  <si>
    <t>Se prioriza la calidad de los datos maestros y críticos, con mecanismos de actualización periódica.</t>
  </si>
  <si>
    <t>Los mecanismos de actualización incluyen automatización parcial y permiten anticipar cuándo un dato requerirá actualización, garantizando su vigencia.</t>
  </si>
  <si>
    <t>La entidad cuenta con un esquema de certificación de calidad (ej. basado en ISO/IEC 25012) para sus datos maestros y críticos.</t>
  </si>
  <si>
    <t>Evalúa si la entidad prioriza la calidad de los datos maestros y críticos, y garantiza su actualización y vigencia mediante mecanismos periódicos o automáticos, conforme a la Acción A.2.2.4 de la ENGD. Profundiza, para los datos maestros y críticos, la dimensión de oportunidad/vigencia que 5.2 verifica de forma general en los puntos de control del ciclo de vida.</t>
  </si>
  <si>
    <t>Se espera que la entidad cuente con un esquema de certificación de calidad (ej. basado en ISO/IEC 25012, referenciado por la ENGD Acción A.2.2.5) para sus datos maestros y críticos. La mejora implica establecer mecanismos de actualización que anticipen cuándo un dato requerirá renovación. Ejemplo: El sistema alerta automáticamente cuando el domicilio de un ciudadano no se actualiza hace más de 2 años, priorizando su verificación.</t>
  </si>
  <si>
    <t>5.4</t>
  </si>
  <si>
    <t>Unicidad y prevención de duplicados</t>
  </si>
  <si>
    <t>¿La entidad cuenta con procesos formales para detectar y resolver registros duplicados (ej. dos registros que corresponden a la misma persona o al mismo predio) en sus datos maestros, definiendo con claridad cuál registro debe prevalecer?</t>
  </si>
  <si>
    <t>No existen procesos para detectar ni resolver duplicados.</t>
  </si>
  <si>
    <t>La detección de duplicados es manual y ocasional, sin criterios definidos de cuál registro debe prevalecer.</t>
  </si>
  <si>
    <t>Se están definiendo criterios de detección y resolución de duplicados, aplicados de forma inconsistente.</t>
  </si>
  <si>
    <t>Existen procesos formales y documentados de detección y resolución de duplicados (técnicamente conocidos como matching y survivorship) para los datos maestros.</t>
  </si>
  <si>
    <t>Estos procesos son monitoreados, con métricas de tasa de duplicidad por dominio de datos que permiten proyectar tendencias y anticipar dominios de riesgo.</t>
  </si>
  <si>
    <t>La detección y prevención de duplicados está automatizada e integrada a la solución de MDM/RDM, garantizando una fuente única y consistente.</t>
  </si>
  <si>
    <t>Evalúa si la entidad cuenta con procesos formales para la detección, resolución (matching y survivorship) y prevención de registros duplicados en sus datos maestros — dimensión de calidad de Unicidad, frecuentemente asociada a problemas reales del sector público (ej. duplicidad de beneficiarios en programas sociales).</t>
  </si>
  <si>
    <t>Se espera que la detección y prevención de duplicados esté automatizada e integrada a la solución de MDM/RDM, garantizando una fuente única y consistente. La mejora implica definir criterios de matching (qué registros se consideran duplicados) y de survivorship (qué registro prevalece). Ejemplo: El sistema detecta que dos registros con el mismo DNI, pero distinto domicilio, corresponden a la misma persona, y aplica la regla de que prevalece el domicilio más recientemente actualizado.</t>
  </si>
  <si>
    <t>5.5</t>
  </si>
  <si>
    <t>Métricas y umbrales de calidad de datos</t>
  </si>
  <si>
    <t>¿La entidad ha definido métricas y umbrales de calidad de datos para sus datos críticos, y los mide y monitorea de forma regular?</t>
  </si>
  <si>
    <t>No existen métricas ni umbrales definidos.</t>
  </si>
  <si>
    <t>Se usan métricas básicas de forma esporádica.</t>
  </si>
  <si>
    <t>Se definen métricas, pero su captura es inconsistente.</t>
  </si>
  <si>
    <t>Se han definido métricas claras, capturadas de forma rutinaria, así como umbrales de calidad de datos monitoreados regularmente.</t>
  </si>
  <si>
    <t>Los indicadores se informan a las jefaturas y permiten anticipar tendencias de deterioro para priorizar mejoras.</t>
  </si>
  <si>
    <t>Las métricas permiten seguimiento y optimización continua de la calidad.</t>
  </si>
  <si>
    <t>Evalúa si la entidad ha traducido las dimensiones de calidad (completitud, exactitud, validez, consistencia, oportunidad, unicidad) en métricas concretas para sus datos críticos, si ha fijado umbrales de aceptación a partir de una línea base, y si los mide con una frecuencia definida. Se distingue de 5.2 (controles en la captura) y de 5.6 (monitoreo y perfilado): aquí se evalúa la existencia y el uso de las métricas y umbrales.</t>
  </si>
  <si>
    <t>Se espera que la entidad establezca primero una línea base (baseline) de sus métricas de calidad antes de fijar umbrales de mejora, de modo que el progreso pueda medirse contra un punto de partida conocido. Se espera que las métricas permitan seguimiento y optimización continua de la calidad, anticipando tendencias de deterioro. Ejemplo: La entidad define que el umbral aceptable de completitud del campo "correo electrónico" en el padrón de usuarios es 90%, y lo mide mensualmente.</t>
  </si>
  <si>
    <t>5.6</t>
  </si>
  <si>
    <t>Monitoreo continuo, perfilado y auditorías de calidad de datos</t>
  </si>
  <si>
    <t>¿Se realizan evaluaciones y monitoreo continuo de la calidad de los datos —incluyendo perfiles de datos y auditorías periódicas— para identificar proactivamente problemas y causas raíz antes de que impacten a los usuarios, y remediarlos de forma sistemática?</t>
  </si>
  <si>
    <t>No se realizan evaluaciones, monitoreo ni auditorías de calidad de datos.</t>
  </si>
  <si>
    <t>Las evaluaciones son reactivas, centradas en problemas ya reportados, sin monitoreo ni auditorías regulares.</t>
  </si>
  <si>
    <t>Se inician perfiles de datos o procedimientos de auditoría en algunos conjuntos de datos, sin proceso estandarizado.</t>
  </si>
  <si>
    <t>Los procedimientos de evaluación, monitoreo y auditoría de calidad están documentados y estandarizados, permitiendo la detección proactiva y auditorías periódicas regulares.</t>
  </si>
  <si>
    <t>Se usan herramientas tecnológicas (dashboards) para monitoreo continuo e identificación de causas raíz, con auditorías que generan informes detallados de brechas.</t>
  </si>
  <si>
    <t>El monitoreo y las auditorías están automatizados, con analítica avanzada que predice y previene el deterioro en la fuente, y remediación sistemática y oportuna de las brechas por los responsables de calidad designados.</t>
  </si>
  <si>
    <t>Evalúa la práctica de evaluación proactiva de calidad de datos (perfiles de datos, para identificar problemas y causas raíz antes de que impacten a los usuarios) y la función de supervisión institucional mediante monitoreo continuo y auditorías periódicas, que cierra el ciclo con la remediación sistemática de las brechas.</t>
  </si>
  <si>
    <t>Se espera que el monitoreo y las auditorías estén automatizados, con analítica avanzada que prediga y prevenga el deterioro en la fuente, y remediación sistemática por los responsables de calidad designados. Ejemplo: la entidad ejecuta mensualmente un perfilado automático del padrón de beneficiarios y, en paralelo, la Oficina de Gobierno de Datos audita trimestralmente la calidad de los tres dominios críticos, exigiendo planes de remediación cuando se detectan brechas.</t>
  </si>
  <si>
    <t>5.7</t>
  </si>
  <si>
    <t>Corrección y remediación de datos</t>
  </si>
  <si>
    <t>¿Se han planificado, priorizado y llevado a cabo acciones de corrección (remediación) de datos, utilizando herramientas para su evaluación y mejora?</t>
  </si>
  <si>
    <t>No hay acciones de corrección planificadas.</t>
  </si>
  <si>
    <t>Las correcciones son ad-hoc, sin plan ni herramientas.</t>
  </si>
  <si>
    <t>Se planifican correcciones de datos sin priorización, con herramientas identificadas pero no usadas activamente.</t>
  </si>
  <si>
    <t>Se desarrollan y priorizan planes de diagnóstico, limpieza y mejora.</t>
  </si>
  <si>
    <t>Se ejecuta la corrección de los datos priorizados (maestros y críticos) conforme a los planes desarrollados, con apoyo de herramientas tecnológicas.</t>
  </si>
  <si>
    <t>Los planes de remediación de datos críticos se ejecutan continuamente, automatizando la corrección y previniendo errores futuros.</t>
  </si>
  <si>
    <t>Evalúa si la entidad planifica, prioriza y ejecuta acciones de corrección (remediación) de datos, utilizando herramientas para su evaluación y mejora.</t>
  </si>
  <si>
    <t>Se espera que los planes de remediación de datos críticos se ejecuten continuamente, automatizando la corrección y previniendo errores futuros. La mejora implica priorizar la corrección de los datos críticos de mayor impacto, ejecutándola conforme a los planes ya desarrollados. Ejemplo: La entidad ejecuta un plan de limpieza de datos que corrige 500 registros de domicilios inconsistentes en el padrón de contribuyentes.</t>
  </si>
  <si>
    <t>5.8</t>
  </si>
  <si>
    <t>Gestión de problemas e incidentes de calidad de datos</t>
  </si>
  <si>
    <t>¿Existe un proceso formal para identificar, clasificar, escalar y resolver problemas e incidentes de calidad de datos (ej. inconsistencias, errores)?</t>
  </si>
  <si>
    <t>No existe proceso para gestión de problemas o incidentes.</t>
  </si>
  <si>
    <t>Resolución ad-hoc, individual y reactiva, sin documentar causa raíz.</t>
  </si>
  <si>
    <t>Se inician esfuerzos de diagnóstico, sin proceso formal ni escalamiento definido.</t>
  </si>
  <si>
    <t>Se definen y documentan procedimientos de identificación, escalamiento y resolución de problemas e incidentes de calidad de datos.</t>
  </si>
  <si>
    <t>La gestión de incidentes se mide con indicadores (ej. tiempo promedio de resolución, tasa de recurrencia), priorizando datos maestros y críticos, y esa información se usa para prevenir incidentes similares.</t>
  </si>
  <si>
    <t>El proceso es proactivo y automatizado, alineado con la estructura de gobierno, evitando inconsistencias futuras en la fuente.</t>
  </si>
  <si>
    <t>Evalúa si la entidad cuenta con un proceso formal para gestionar los problemas de calidad detectados en la operación o reportados por usuarios, ciudadanos u otras entidades (ej. registros inconsistentes, duplicados, errores): cómo se registran, se clasifican según su impacto, se escalan al Dueño o Custodio de Datos responsable y se resuelven atendiendo la causa raíz. Se distingue de 5.7, que evalúa la corrección planificada de datos.</t>
  </si>
  <si>
    <t>Se espera que el proceso sea proactivo y automatizado, alineado con la estructura de gobierno, evitando inconsistencias futuras en la fuente. La mejora implica documentar el procedimiento de escalamiento y resolución. Ejemplo: Un usuario reporta una inconsistencia en el padrón; el incidente se registra, se escala al Dueño de Datos correspondiente y se resuelve en un plazo definido.</t>
  </si>
  <si>
    <t>5.9</t>
  </si>
  <si>
    <t>Valoración económica de los datos y costo de la baja calidad</t>
  </si>
  <si>
    <t>¿Se ha establecido un proceso formal para cuantificar el valor económico de los datos maestros y críticos, y para medir los costos asociados a su baja calidad (ej. reprocesos, impacto en decisiones)?</t>
  </si>
  <si>
    <t>No existe un proceso formal para cuantificar el valor de los datos ni los costos de la mala calidad.</t>
  </si>
  <si>
    <t>Se reconocen informalmente estos costos, sin cuantificación.</t>
  </si>
  <si>
    <t>Se desarrollan metodologías o estudios iniciales, sin formalizar.</t>
  </si>
  <si>
    <t>Se establecen métricas y procesos básicos para medir costos de baja calidad y/o valor de datos maestros y críticos.</t>
  </si>
  <si>
    <t>Los costos de la mala calidad se monitorean y se usan para justificar inversiones en las iniciativas de datos (en el PAGD, cuando la entidad ya cuente con uno).</t>
  </si>
  <si>
    <t>Existe una metodología formal y activa que asegura que las inversiones generen valor superior al costo.</t>
  </si>
  <si>
    <t>Evalúa si la entidad ha establecido un proceso formal para cuantificar el valor económico de sus datos maestros y críticos, y para medir los costos asociados a su baja calidad (ej. reprocesos, impacto en decisiones). Ver en el Apéndice A las entradas "Datos maestros" y "Dato Crítico".</t>
  </si>
  <si>
    <t>Se espera una metodología formal y activa que asegure que las inversiones en datos generen valor superior al costo. La mejora implica establecer métricas básicas de costo/valor, aunque sea de forma inicial. Ejemplo: La entidad estima que la duplicidad en el padrón de proveedores generó un sobrecosto anual en pagos, y usa esa cifra para justificar la inversión en una solución MDM.</t>
  </si>
  <si>
    <t>D6. SEGURIDAD DE DATOS</t>
  </si>
  <si>
    <t>6.1</t>
  </si>
  <si>
    <t>Sistema de Gestión de Seguridad de la Información (SGSI)</t>
  </si>
  <si>
    <t>¿En qué grado la entidad ha implementado y mantiene un SGSI para proteger todos sus activos de información, incluyendo auditorías anuales?</t>
  </si>
  <si>
    <t>No existe un SGSI.</t>
  </si>
  <si>
    <t>Medidas de seguridad digital ad-hoc (ej. antivirus básico, sin políticas formales), sin SGSI documentado.</t>
  </si>
  <si>
    <t>El SGSI está en desarrollo o implementado parcialmente (ej. sólo para algunos sistemas críticos).</t>
  </si>
  <si>
    <t>Existe un SGSI documentado que cubre todos los activos de información de la entidad y se somete al menos a una auditoría externa anual, aunque esta aún identifique brechas pendientes.</t>
  </si>
  <si>
    <t>El SGSI garantiza la disponibilidad, integridad y confidencialidad de los activos de información, gestiona riesgos activamente y cuenta con un Equipo de Respuestas ante Incidentes de Seguridad Digital.</t>
  </si>
  <si>
    <t>El SGSI es maduro, se integra proactivamente con el gobierno de datos (ej. clasificación automática de nuevos activos de datos) y garantiza resiliencia y mejora continua.</t>
  </si>
  <si>
    <t>Evalúa la implementación y mantenimiento de un Sistema de Gestión de Seguridad de la Información (SGSI) —documentado mediante políticas de control de acceso, gestión de contraseñas, respaldo de información, entre otras— que proteja todos los activos de información de la entidad —no solo datos personales—, incluyendo auditorías externas anuales (mínimo anual, conforme al Art. 113 del DS 029-2021-PCM; referencia técnica: NTP-ISO/IEC 27002).</t>
  </si>
  <si>
    <t>Se espera un SGSI maduro que se integre proactivamente con el gobierno de datos y garantice resiliencia y mejora continua. La mejora implica implementar el SGSI y someterlo a auditoría externa al menos una vez al año. El OSCD es, conforme al Art. 111.3 del DS 029-2021-PCM (rol renombrado por el DS 157-2021-PCM), el responsable de coordinar la implementación y mantenimiento del SGSI; su designación se evalúa en la pregunta 3.15. Ejemplo: La entidad implementa un SGSI documentado y contrata una auditoría externa anual que evalúa el cumplimiento de sus controles de seguridad.</t>
  </si>
  <si>
    <t>6.2</t>
  </si>
  <si>
    <t>Privacidad desde el diseño y política de privacidad y seguridad</t>
  </si>
  <si>
    <t>¿Se garantizan medidas preventivas desde el diseño de los servicios digitales, y se ha elaborado una política de privacidad y seguridad de datos?</t>
  </si>
  <si>
    <t>No hay medidas preventivas ni política de privacidad y seguridad.</t>
  </si>
  <si>
    <t>Medidas reactivas (se corrige solo tras un incidente); política en fase conceptual.</t>
  </si>
  <si>
    <t>Se aplica "Privacidad desde el Diseño" en nuevos servicios (ej. minimización de datos recolectados en un nuevo formulario); política en borrador.</t>
  </si>
  <si>
    <t>La política de privacidad y seguridad de datos ha sido elaborada y aprobada formalmente, aunque su aplicación consistente en el diseño de los servicios digitales (Privacidad desde el Diseño) aún esté en desarrollo.</t>
  </si>
  <si>
    <t>Las medidas preventivas desde el diseño se garantizan de forma consistente en todos los servicios digitales, que además se auditan por cumplimiento de "Privacidad desde el Diseño" antes de su lanzamiento, conforme rigurosamente a la política aprobada.</t>
  </si>
  <si>
    <t>Política y medidas proactivas, revisadas continuamente ante nuevos riesgos (ej. nuevas tecnologías de IA).</t>
  </si>
  <si>
    <t>Evalúa si se garantizan medidas preventivas desde el diseño de los servicios digitales ("Privacidad desde el Diseño") y si se ha elaborado una política de privacidad y seguridad de datos.</t>
  </si>
  <si>
    <t>Se espera una política y medidas proactivas, revisadas continuamente ante nuevos riesgos. La mejora implica elaborar la política formalmente (típicamente liderada por el ODP en su componente de privacidad y por el OSCD en el de seguridad, o por el OGD/TI en ausencia de OSCD designado) y aplicar "Privacidad desde el Diseño" en todo nuevo servicio digital. Ejemplo: Antes de lanzar un nuevo trámite en línea, el equipo revisa que solo se recolecten los datos estrictamente necesarios para el servicio.</t>
  </si>
  <si>
    <t>6.3</t>
  </si>
  <si>
    <t>Colaboración con la ANPD ante incidentes</t>
  </si>
  <si>
    <t>¿Cuál es el nivel de colaboración y comunicación de la entidad con la Autoridad Nacional de Protección de Datos Personales (ANPD) ante incidentes que involucren datos personales, incluyendo el reporte dentro del plazo máximo de 48 horas?</t>
  </si>
  <si>
    <t>No existe colaboración con la ANPD ante incidentes.</t>
  </si>
  <si>
    <t>La colaboración es reactiva y el reporte de incidentes se realiza de forma tardía o incompleta (ej. después del plazo de 48 horas).</t>
  </si>
  <si>
    <t>Se están definiendo procedimientos internos para el reporte, pero el cumplimiento del plazo de 48 horas es inconsistente.</t>
  </si>
  <si>
    <t>Se cuenta con un proceso formal para el reporte sistemático de incidentes (ej. protocolo de notificación activado ante cualquier filtración), cumpliendo con el plazo máximo de 48 horas.</t>
  </si>
  <si>
    <t>El proceso de reporte cuenta con un enlace formal con la ANPD (típicamente el ODP), y la colaboración y comunicación son proactivas.</t>
  </si>
  <si>
    <t>El proceso de reporte y colaboración es optimizado y sujeto a monitoreo constante para asegurar su efectividad, y se utiliza para mejorar la respuesta institucional.</t>
  </si>
  <si>
    <t>Evalúa el nivel de colaboración y comunicación de la entidad con la Autoridad Nacional de Protección de Datos Personales (ANPD) ante incidentes que involucren datos personales, incluyendo el reporte dentro del plazo máximo de 48 horas.</t>
  </si>
  <si>
    <t>Se espera un proceso optimizado y sujeto a monitoreo constante, usado para mejorar la respuesta institucional. La mejora implica formalizar el proceso de reporte y cumplir sistemáticamente el plazo legal. Ejemplo: Ante una filtración de datos, la entidad reporta el incidente a la ANPD dentro de las 48 horas siguientes a su detección, siguiendo un protocolo documentado.</t>
  </si>
  <si>
    <t>6.4</t>
  </si>
  <si>
    <t>Clasificación de datos por sensibilidad</t>
  </si>
  <si>
    <t>¿En qué medida se clasifican obligatoriamente los datos y se evalúa su sensibilidad, implementando medidas de seguridad específicas para cada nivel de confidencialidad?</t>
  </si>
  <si>
    <t>No existe un proceso formal de clasificación de datos o evaluación de sensibilidad.</t>
  </si>
  <si>
    <t>La clasificación es informal o se realiza ad-hoc (ej. criterio personal de cada área).</t>
  </si>
  <si>
    <t>Se han iniciado esfuerzos para clasificar datos (ej. distinguir públicos de confidenciales), pero la implementación de medidas de seguridad es inconsistente.</t>
  </si>
  <si>
    <t>Existe un proceso formal y obligatorio de clasificación de datos (ej. por niveles: pública, reservada, secreta, confidencial) y aplicación de medidas de seguridad específicas por nivel.</t>
  </si>
  <si>
    <t>El proceso de clasificación es monitoreado y auditado regularmente.</t>
  </si>
  <si>
    <t>La clasificación y la implementación de medidas de seguridad son proactivas y automatizadas (ej. etiquetado automático de nuevos registros).</t>
  </si>
  <si>
    <t>Evalúa la existencia de un proceso formal y obligatorio de clasificación de datos por nivel de sensibilidad, con medidas de seguridad específicas para cada nivel de confidencialidad. El ejemplo de niveles sigue la terminología de la Ley 27806 y el DS 029-2021-PCM (pública, reservada, secreta, confidencial); la entidad puede mantener o definir un esquema de clasificación propio, siempre que cumpla el mismo criterio de formalidad y diferenciación de medidas de seguridad por nivel.</t>
  </si>
  <si>
    <t>Se espera que la clasificación y las medidas de seguridad sean proactivas y automatizadas. La mejora implica formalizar niveles de clasificación (ej. pública, reservada, secreta, confidencial) y aplicar controles diferenciados por nivel. Ejemplo: La entidad clasifica sus bases de datos en 4 niveles de confidencialidad y aplica cifrado obligatorio a la información clasificada como secreta, reservada o confidencial.</t>
  </si>
  <si>
    <t>6.5</t>
  </si>
  <si>
    <t>Controles de seguridad en el ciclo de vida del dato</t>
  </si>
  <si>
    <t>¿Se han implementado controles de seguridad en los datos a lo largo de su ciclo de vida (ej. cifrado, enmascaramiento, gestión de acceso basado en roles), según su nivel de clasificación?</t>
  </si>
  <si>
    <t>No existen procesos ni controles de seguridad para la protección de los datos.</t>
  </si>
  <si>
    <t>La seguridad se aplica de forma básica (ej. solo contraseñas) o solo en algunas etapas del ciclo de vida.</t>
  </si>
  <si>
    <t>Se están definiendo procesos y controles de seguridad (ej. cifrado en tránsito), pero su implementación es parcial o limitada.</t>
  </si>
  <si>
    <t>Se han establecido controles de seguridad (ej. cifrado, enmascaramiento, control de acceso basado en roles) a lo largo del ciclo de vida del dato.</t>
  </si>
  <si>
    <t>Los controles de seguridad se auditan y verifican periódicamente para asegurar su cumplimiento según el nivel de clasificación de cada dato, con corrección de brechas detectadas.</t>
  </si>
  <si>
    <t>La protección de los datos es una prioridad estratégica, con políticas claras y detalladas, y se audita continuamente su cumplimiento.</t>
  </si>
  <si>
    <t>Evalúa la implementación de controles de seguridad (cifrado, enmascaramiento, gestión de acceso basado en roles) a lo largo del ciclo de vida del dato, según su nivel de clasificación —no limitado a la categoría legal de "datos sensibles".</t>
  </si>
  <si>
    <t>Se espera que la protección de datos sea una prioridad estratégica, con políticas claras y auditoría continua del cumplimiento. La mejora implica aplicar controles diferenciados según el nivel de clasificación de cada dato, no solo a los legalmente sensibles. Ejemplo: Los campos de sueldo en la base de datos de personal se enmascaran para los usuarios sin autorización de nivel gerencial, independientemente de si constituyen "dato sensible" en sentido legal.</t>
  </si>
  <si>
    <t>6.6</t>
  </si>
  <si>
    <t>Uso limitado de atributos de identidad digital</t>
  </si>
  <si>
    <t>¿Se garantiza que los datos de identidad digital de los ciudadanos (ej. los usados para validar su identidad en un trámite) se utilizan únicamente para ese fin específico, sin reutilizarlos para propósitos no relacionados?</t>
  </si>
  <si>
    <t>No existe un control o seguimiento claro sobre el uso de los atributos de identidad digital.</t>
  </si>
  <si>
    <t>El uso se basa en acuerdos informales o en la buena fe, sin procesos formales de verificación.</t>
  </si>
  <si>
    <t>Se están estableciendo directrices, pero la verificación del cumplimiento es limitada o inconsistente entre los diferentes servicios digitales.</t>
  </si>
  <si>
    <t>Existen políticas y mecanismos claros (ej. un ciudadano que valida su identidad para una licencia no es luego contactado con fines comerciales) para asegurar que los atributos se usan solo para los fines recolectados.</t>
  </si>
  <si>
    <t>Se monitorea activamente y se audita el uso de los atributos de identidad digital, y se implementan medidas correctivas ante cualquier desviación detectada.</t>
  </si>
  <si>
    <t>El control sobre el uso de atributos de identidad digital es robusto, automatizado y proactivo, con revisiones periódicas y adaptaciones normativas.</t>
  </si>
  <si>
    <t>Evalúa si se garantiza que los datos de identidad digital de los ciudadanos (ej. los usados para validar su identidad en un trámite) se utilizan únicamente para ese fin específico, sin reutilizarlos para propósitos no relacionados (principio de limitación de finalidad).</t>
  </si>
  <si>
    <t>Se espera un control robusto, automatizado y proactivo, con revisiones periódicas y adaptaciones normativas. La mejora implica establecer políticas claras que impidan la reutilización no autorizada de estos datos. Ejemplo: Un ciudadano que valida su identidad para obtener una licencia municipal no recibe posteriormente comunicaciones comerciales basadas en esos mismos datos.</t>
  </si>
  <si>
    <t>6.7</t>
  </si>
  <si>
    <t>Cumplimiento normativo de protección de datos personales</t>
  </si>
  <si>
    <t>¿Se cumplen la normativa y regulaciones aplicables en materia de Protección de Datos Personales, incluyendo el alineamiento con políticas de flujo transfronterizo de datos y el uso de datos de terceros?</t>
  </si>
  <si>
    <t>La entidad no cumple con la normativa de protección de datos personales.</t>
  </si>
  <si>
    <t>El cumplimiento es parcial o reactivo (ej. solo se atiende ante una fiscalización).</t>
  </si>
  <si>
    <t>Se está trabajando en la alineación con políticas de flujo transfronterizo (ej. contratación de servicios en la nube fuera del país) y uso de datos de terceros, pero sin formalización.</t>
  </si>
  <si>
    <t>La institución da cumplimiento al marco normativo en materia de protección de datos personales y ha desarrollado políticas para el uso de datos de terceros.</t>
  </si>
  <si>
    <t>Las prácticas de gobierno de datos están alineadas con las políticas de flujo transfronterizo, asegurando transferencias seguras y legales (ej. cláusulas contractuales con proveedores cloud).</t>
  </si>
  <si>
    <t>El cumplimiento normativo está integrado en todos los procesos, con mecanismos proactivos (encriptación, acceso restringido) y reconocimiento de la dependencia con políticas de terceros.</t>
  </si>
  <si>
    <t>Evalúa el cumplimiento de la normativa de Protección de Datos Personales, incluyendo el alineamiento con políticas de flujo transfronterizo de datos (ej. servicios en la nube fuera del país) y el uso de datos de terceros. El nivel 3 no exige, de forma deliberada, alineamiento transfronterizo específico — queda como criterio aspiracional en los niveles 4-5, dado que no toda entidad tiene flujos transfronterizos de datos.</t>
  </si>
  <si>
    <t>Se espera que el cumplimiento normativo esté integrado en todos los procesos, con mecanismos proactivos (encriptación, acceso restringido). La mejora implica formalizar políticas específicas para transferencias internacionales y uso de datos de terceros, cuando corresponda. Ejemplo: El contrato con un proveedor de nube incluye cláusulas contractuales que garantizan el cumplimiento de la Ley 29733 para los datos alojados fuera del país.</t>
  </si>
  <si>
    <t>6.8</t>
  </si>
  <si>
    <t>Evaluación de Impacto de Riesgo Alto (sistemas de IA)</t>
  </si>
  <si>
    <t>¿Existe un proceso formal de Evaluación de Impacto de Riesgo Alto (DS 115-2025-PCM, Art. 30) para sistemas de Inteligencia Artificial y usos de datos de alto impacto, antes de su implementación, con responsabilidad claramente asignada dentro de la entidad?</t>
  </si>
  <si>
    <t>No existe un proceso formal de Evaluación de Impacto de Riesgo Alto.</t>
  </si>
  <si>
    <t>La evaluación es ad-hoc, solo bajo requerimiento de la Alta Dirección.</t>
  </si>
  <si>
    <t>Se desarrollan guías iniciales (ej. checklist básico), sin formalización ni asignación de responsables.</t>
  </si>
  <si>
    <t>Existe un proceso formal de evaluación de impacto para sistemas de riesgo alto (ej. IA usada para priorizar beneficiarios de un programa social), con responsabilidad claramente asignada dentro de la entidad (a los roles existentes según corresponda: seguridad, privacidad, calidad de datos).</t>
  </si>
  <si>
    <t>El proceso se aplica sistemáticamente a todos los sistemas de IA de riesgo alto vigentes, con indicadores de seguimiento (ej. número de evaluaciones realizadas, tiempo promedio de evaluación) que permiten anticipar la necesidad de evaluación en nuevos desarrollos desde su etapa de diseño.</t>
  </si>
  <si>
    <t>Es un componente clave del gobierno de datos, integrado al ciclo de vida del desarrollo, con mitigación proactiva de riesgos (ej. ajuste de modelos antes de su despliegue).</t>
  </si>
  <si>
    <t>Sí — solo gobiernos locales Tipo D, E, F y G (DS 115-2025-PCM, Primera Disposición Complementaria Final, literal g). Para el resto de entidades la pregunta siempre aplica, tengan o no un sistema de IA de riesgo alto en operación.</t>
  </si>
  <si>
    <t>Evalúa si existe un proceso formal de Evaluación de Impacto de Riesgo Alto (DS 115-2025-PCM, Art. 30) para sistemas de Inteligencia Artificial y usos de datos de alto impacto, antes de su implementación. Es obligatoria para entidades públicas (a diferencia del sector privado, donde es voluntaria, Art. 32 del mismo decreto).</t>
  </si>
  <si>
    <t>Se espera que la evaluación sea un componente clave del gobierno de datos, integrado al ciclo de vida del desarrollo, con mitigación proactiva de riesgos. La mejora implica formalizar el proceso, con responsabilidad asignada según el aspecto evaluado (seguridad, privacidad, calidad de datos). Ejemplo: Antes de implementar un algoritmo de priorización de beneficiarios de un programa social, la entidad realiza una evaluación de impacto que analiza riesgos de sesgo y exclusión.</t>
  </si>
  <si>
    <t>6.9</t>
  </si>
  <si>
    <t>Derecho de acceso del titular a sus datos personales</t>
  </si>
  <si>
    <t>¿En qué grado se facilita al titular el ejercicio del derecho de acceso a su información personal en poder de la entidad, en soporte electrónico, conforme al Art. 19 de la Ley 29733?</t>
  </si>
  <si>
    <t>El acceso a los datos personales del titular es inexistente o muy difícil.</t>
  </si>
  <si>
    <t>Se facilita solo bajo solicitud directa y manual (ej. trámite presencial obligatorio).</t>
  </si>
  <si>
    <t>Existen algunos mecanismos electrónicos (ej. correo electrónico), con limitaciones y procesos poco eficientes.</t>
  </si>
  <si>
    <t>Se facilita el acceso de manera consistente, en soporte electrónico (ej. portal de autoservicio o formulario en línea), conforme a la normativa y el plazo de 20 días hábiles.</t>
  </si>
  <si>
    <t>El proceso es monitoreado para asegurar eficiencia y cumplimiento, midiendo la satisfacción del usuario.</t>
  </si>
  <si>
    <t>El acceso es transparente y responde en tiempo real, con herramientas automatizadas (ej. portal de autoservicio que entrega los datos de forma inmediata, sin intervención manual) y mejora continua.</t>
  </si>
  <si>
    <t>Evalúa el grado en que se facilita al titular el ejercicio del derecho de acceso a su información personal en poder de la entidad, en soporte electrónico, conforme al Art. 19 de la Ley 29733 y el plazo reglamentario de 20 días hábiles.</t>
  </si>
  <si>
    <t>Se espera un acceso transparente que responda en tiempo real, con herramientas automatizadas y mejora continua. La mejora implica habilitar mecanismos electrónicos de autoservicio, en vez de depender de solicitudes manuales. Ejemplo: Un ciudadano solicita en línea el acceso a sus datos personales en poder de la entidad y recibe respuesta dentro del plazo de 20 días hábiles mediante un portal de autoservicio.</t>
  </si>
  <si>
    <t>D7. INFRAESTRUCTURA TECNOLÓGICA Y OPERACIONES DE DATOS</t>
  </si>
  <si>
    <t>7.1</t>
  </si>
  <si>
    <t>Gobierno de la arquitectura tecnológica</t>
  </si>
  <si>
    <t>¿Se ha establecido un gobierno de la arquitectura tecnológica (Modelo de referencia Tecnológico, DS 029-2021-PCM Art. 118.2-e), alineado con la estrategia de gobierno de datos de la entidad y los objetivos estratégicos institucionales, y se ha definido y validado la arquitectura tecnológica institucional por las partes interesadas relevantes?</t>
  </si>
  <si>
    <t>No existe un gobierno de la arquitectura tecnológica.</t>
  </si>
  <si>
    <t>Las decisiones de arquitectura son reactivas, sin alineación formal con la estrategia de gobierno de datos de la entidad.</t>
  </si>
  <si>
    <t>Se están definiendo los elementos del gobierno de arquitectura, pero la alineación o validación es parcial.</t>
  </si>
  <si>
    <t>Se ha establecido un marco de gobierno de la arquitectura tecnológica, definido y validado por las partes interesadas, alineado con la estrategia de gobierno de datos de la entidad —formalizada en el PAGD cuando la entidad ya cuente con uno— y con los OEI.</t>
  </si>
  <si>
    <t>El marco de gobierno exige formalmente que toda nueva infraestructura o desarrollo tecnológico se valide contra la arquitectura tecnológica institucional, con revisiones periódicas de cumplimiento.</t>
  </si>
  <si>
    <t>El gobierno de la arquitectura tecnológica es un motor estratégico, proactivo en la adopción de tecnologías y sus procesos implementados están sujetos a revisión y aprobación continua.</t>
  </si>
  <si>
    <t>Evalúa si se ha establecido un marco de gobierno de la arquitectura tecnológica (Modelo de referencia Tecnológico, DS 029-2021-PCM Art. 118.2-e), alineado con la estrategia de gobierno de datos de la entidad y los OEI, definido y validado por las partes interesadas relevantes.</t>
  </si>
  <si>
    <t>Se espera un gobierno de la arquitectura tecnológica proactivo en la adopción de tecnologías, con procesos sujetos a revisión continua. La mejora implica establecer el marco y exigir formalmente su cumplimiento en toda nueva infraestructura o desarrollo. Ejemplo: Ningún nuevo servidor o servicio en la nube se contrata sin validación previa contra la arquitectura tecnológica institucional (ej. evaluación de si un nuevo servicio de datos debe alojarse en NUBE PERÚ, conforme a la política de uso preferente de la nube, DS 157-2021-PCM).</t>
  </si>
  <si>
    <t>7.2</t>
  </si>
  <si>
    <t>Plan de Continuidad Operativa y recuperación de desastres</t>
  </si>
  <si>
    <t>¿Se ha implementado un Plan de Continuidad Operativa (PCO) y recuperación de desastres de TI —con objetivos de tiempo de recuperación (RTO) y punto de recuperación (RPO) definidos—, articulado con la RM N.° 028-2015-PCM, para asegurar la disponibilidad de los datos y sistemas críticos?</t>
  </si>
  <si>
    <t>No existe un plan de continuidad operativa (PCO) o recuperación de desastres de TI.</t>
  </si>
  <si>
    <t>Hay acciones puntuales de respaldo de datos, pero sin un PCO formal ni objetivos de recuperación definidos.</t>
  </si>
  <si>
    <t>El PCO está en desarrollo o implementado parcialmente; los objetivos de RTO/RPO están en definición.</t>
  </si>
  <si>
    <t>Se ha implementado un PCO formal de TI, articulado con la RM N.° 028-2015-PCM, con objetivos de RTO y RPO definidos para los sistemas críticos.</t>
  </si>
  <si>
    <t>El PCO es probado regularmente (ej. simulacros de recuperación), y se verifica el cumplimiento de los objetivos de RTO/RPO.</t>
  </si>
  <si>
    <t>El PCO es robusto, se mejora continuamente, y los objetivos de RTO/RPO se cumplen consistentemente, con auditorías del gobierno de riesgo operativo.</t>
  </si>
  <si>
    <t>Evalúa la implementación de un Plan de Continuidad Operativa (PCO) y recuperación de desastres de TI —con objetivos de tiempo de recuperación (RTO) y punto de recuperación (RPO) definidos—, articulado con la RM N.° 028-2015-PCM (aplicable a los tres niveles de gobierno).</t>
  </si>
  <si>
    <t>Se espera un PCO robusto, mejorado continuamente, con los objetivos de RTO/RPO cumplidos consistentemente y sujeto a auditorías. La mejora implica definir metas concretas y medibles de recuperación, no sólo acciones puntuales de respaldo. Ejemplo: La entidad define que el sistema de trámites debe restablecerse en máximo 4 horas (RTO) con pérdida máxima de 1 hora de datos (RPO), y lo prueba mediante simulacros anuales.</t>
  </si>
  <si>
    <t>7.3</t>
  </si>
  <si>
    <t>Herramientas y tecnologías para el ciclo de vida operativo del dato</t>
  </si>
  <si>
    <t>¿Se cuenta con herramientas y tecnologías de almacenamiento, procesamiento y análisis de datos (ej. Data Warehouses, Data Lakes, ETLs, BI, entre otras), y se desarrolla e implementa una hoja de ruta para su selección, adquisición y uso?</t>
  </si>
  <si>
    <t>No se dispone de herramientas ni tecnologías de almacenamiento/procesamiento, ni de hoja de ruta.</t>
  </si>
  <si>
    <t>Se usan herramientas e infraestructura básica, sin hoja de ruta formal.</t>
  </si>
  <si>
    <t>Se están explorando herramientas y tecnologías, con hoja de ruta en desarrollo.</t>
  </si>
  <si>
    <t>La entidad ha definido y formalizado una hoja de ruta para la selección, adquisición y uso de estas herramientas y tecnologías, aunque su despliegue en infraestructura robusta aún no esté completo.</t>
  </si>
  <si>
    <t>La hoja de ruta se aplica de forma consistente: la entidad dispone de herramientas e infraestructura robusta y operativa, con procesos de selección, adquisición y uso implementados; los ETL/BI automatizados generan proyecciones que apoyan la toma de decisiones.</t>
  </si>
  <si>
    <t>La selección, adquisición y uso de herramientas y tecnologías está completamente optimizado, con planificación detallada de tecnologías avanzadas (Data Lakes/Lakehouses).</t>
  </si>
  <si>
    <t>Evalúa si la entidad cuenta con herramientas y tecnologías de almacenamiento, procesamiento y análisis de datos (ej. Data Warehouses, Data Lakes, ETLs, BI, entre otras), y si desarrolla e implementa una hoja de ruta para su selección, adquisición y uso.</t>
  </si>
  <si>
    <t>Se espera una planificación detallada de tecnologías avanzadas (Data Lakes/Lakehouses), con la selección, adquisición y uso de herramientas completamente optimizadas. La mejora implica documentar una hoja de ruta tecnológica (nivel 3) y desplegarla efectivamente en infraestructura robusta y operativa (nivel 4). Ejemplo: La entidad define en su hoja de ruta la migración progresiva de hojas de cálculo a un Data Warehouse institucional en un plazo de 2 años.</t>
  </si>
  <si>
    <t>7.4</t>
  </si>
  <si>
    <t>Capacidad de manejo de grandes volúmenes de datos (Big Data)</t>
  </si>
  <si>
    <t>¿Se cuenta con infraestructura y prácticas para la recolección y gestión de grandes volúmenes de datos (Big Data)?</t>
  </si>
  <si>
    <t>No hay infraestructura ni prácticas de Big Data.</t>
  </si>
  <si>
    <t>Se cuenta con repositorios de grandes volúmenes, sin explotación activa.</t>
  </si>
  <si>
    <t>Se exploran prácticas de Big Data, sin estrategia clara.</t>
  </si>
  <si>
    <t>La institución cuenta con tecnologías para almacenar y procesar grandes volúmenes de datos.</t>
  </si>
  <si>
    <t>La infraestructura de Big Data está operativa y habilita análisis predictivo de forma sistemática.</t>
  </si>
  <si>
    <t>La explotación de Big Data está optimizada y contribuye directamente a los objetivos estratégicos.</t>
  </si>
  <si>
    <t>Evalúa si la entidad cuenta con infraestructura y prácticas para la recolección y gestión de grandes volúmenes de datos (Big Data) — capacidad técnica distinta del uso de analítica avanzada, que se evalúa por separado en 7.5, y distinta también de la hoja de ruta general de herramientas evaluada en 7.3.</t>
  </si>
  <si>
    <t>Se espera que la explotación de Big Data esté optimizada y contribuya directamente a los objetivos estratégicos, habilitando análisis predictivo de forma sistemática. La mejora implica implementar tecnologías capaces de almacenar y procesar grandes volúmenes, cuando el volumen de datos de la entidad lo justifique. Ejemplo: La entidad implementa una plataforma de Big Data para procesar los millones de registros de transacciones de un sistema masivo de atención ciudadana.</t>
  </si>
  <si>
    <t>7.5</t>
  </si>
  <si>
    <t>Uso de analítica avanzada para objetivos estratégicos</t>
  </si>
  <si>
    <t>¿Se utiliza analítica avanzada (ej. ciencia de datos, modelado predictivo, IA, visualización) para la atención de los objetivos estratégicos institucionales?</t>
  </si>
  <si>
    <t>No hay uso de analítica avanzada.</t>
  </si>
  <si>
    <t>Uso limitado o exploratorio, sin vinculación con OEI.</t>
  </si>
  <si>
    <t>Se inician pilotos de analítica avanzada, sin estrategia clara.</t>
  </si>
  <si>
    <t>Se utiliza analítica avanzada (ciencia de datos, modelado predictivo, IA, visualización, u otros) de forma sistemática, vinculada a objetivos estratégicos.</t>
  </si>
  <si>
    <t>Las decisiones institucionales se basan sistemáticamente en modelos predictivos y evidencia.</t>
  </si>
  <si>
    <t>La analítica avanzada está completamente integrada y automatizada en los procesos institucionales, consolidándose como el principal motor de innovación y mejora continua de la entidad.</t>
  </si>
  <si>
    <t>Evalúa el uso de analítica avanzada (ej. ciencia de datos, modelado predictivo, IA, visualización) para la atención de los objetivos estratégicos institucionales. El uso de IA ya cuenta aquí como analítica avanzada: empezar a usarla de forma exploratoria no basta para el nivel 3, que exige uso sistemático y vinculado a los OEI (niveles 1-2 cubren el uso inicial o piloto).</t>
  </si>
  <si>
    <t>Se espera que la analítica avanzada esté completamente integrada y automatizada en los procesos institucionales, consolidándose como el principal motor de innovación y mejora continua de la entidad. La mejora implica vincular sistemáticamente el uso de analítica avanzada (incluyendo IA) con los OEI, más allá de pilotos aislados. Ejemplo: La entidad desarrolla un modelo predictivo que anticipa la demanda de un servicio público en función de patrones históricos, usado activamente en la planificación operativa.</t>
  </si>
  <si>
    <t>7.6</t>
  </si>
  <si>
    <t>Gobierno de procesos de transformación, integración y presentación de datos</t>
  </si>
  <si>
    <t>¿La arquitectura tecnológica define y gobierna los procesos técnicos (de TI) de transformación, integración y presentación de datos consolidados para el soporte de decisiones estratégicas?</t>
  </si>
  <si>
    <t>La arquitectura no define procesos para la transformación, integración o presentación de datos.</t>
  </si>
  <si>
    <t>Los procesos de transformación e integración son ad-hoc y no están formalizados en la arquitectura.</t>
  </si>
  <si>
    <t>La arquitectura tecnológica está en proceso de definir los procesos, pero la consolidación de datos para la toma de decisiones es limitada.</t>
  </si>
  <si>
    <t>La arquitectura tecnológica define los procesos técnicos de transformación, integración y presentación (ej. Data Warehousing/BI) de datos consolidados para el soporte de decisiones.</t>
  </si>
  <si>
    <t>La arquitectura y los procesos garantizan que los datos consolidados sean de alta calidad y se utilicen activamente en los informes de gestión.</t>
  </si>
  <si>
    <t>La arquitectura tecnológica está optimizada y automatizada para proporcionar datos integrados en tiempo real que impulsan la toma de decisiones estratégicas.</t>
  </si>
  <si>
    <t>Evalúa si la arquitectura tecnológica define y gobierna los procesos técnicos (de TI) de transformación, integración y presentación de datos consolidados (ej. Data Warehousing/BI) para el soporte de decisiones estratégicas.</t>
  </si>
  <si>
    <t>Se espera que la arquitectura tecnológica esté optimizada y automatizada para proporcionar datos integrados en tiempo real que impulsen decisiones estratégicas. La mejora implica formalizar estos procesos técnicos como parte de la arquitectura, no como desarrollos ad-hoc. Ejemplo: La arquitectura tecnológica define el proceso ETL estándar mediante el cual los datos de los sistemas transaccionales se consolidan en el Data Warehouse cada noche.</t>
  </si>
  <si>
    <t>7.7</t>
  </si>
  <si>
    <t>Alineación de las áreas de operación de datos con la Oficina de Gobierno de Datos</t>
  </si>
  <si>
    <t>¿Las áreas que gestionan los datos en su operación diaria (recopilación, almacenamiento, procesamiento, distribución, mantenimiento, etc.) están alineadas con la estrategia de gobierno de datos de la entidad y responden a la Oficina de Gobierno de Datos?</t>
  </si>
  <si>
    <t>Las áreas que gestionan los datos en su operación diaria no siguen buenas prácticas de gestión de datos ni se vinculan de ninguna forma con la Oficina de Gobierno de Datos.</t>
  </si>
  <si>
    <t>Las áreas reconocen la necesidad de alinearse con la estrategia de gobierno de datos, pero sus prácticas son ad-hoc y no existe ninguna coordinación, ni siquiera informal, con la Oficina de Gobierno de Datos.</t>
  </si>
  <si>
    <t>Algunas áreas adoptan buenas prácticas de gestión de datos de forma aislada, con una coordinación únicamente informal (sin responsabilidades ni mecanismos definidos) con la Oficina de Gobierno de Datos.</t>
  </si>
  <si>
    <t>Las áreas que gestionan los datos en su operación diaria están alineadas con la estrategia de gobierno de datos de la entidad —formalizada en el PAGD cuando la entidad ya cuente con uno—, siguen buenas prácticas consistentes de gestión de datos, y responden formalmente a la Oficina de Gobierno de Datos, con mecanismos de coordinación y prioridades definidas en conjunto.</t>
  </si>
  <si>
    <t>La Oficina de Gobierno de Datos supervisa y da seguimiento regular al cumplimiento de estas prácticas en las áreas operativas, verificando su consistencia.</t>
  </si>
  <si>
    <t>Las áreas que gestionan los datos en su operación diaria mejoran continuamente sus prácticas —logrando eficiencia y consistencia en la recopilación, almacenamiento y mantenimiento de los datos bajo su responsabilidad— en un ciclo retroalimentado con la Oficina de Gobierno de Datos.</t>
  </si>
  <si>
    <t>Evalúa si las áreas que gestionan los datos en su operación diaria —recopilación, almacenamiento y mantenimiento— están alineadas con la estrategia de gobierno de datos de la entidad y responden a la Oficina de Gobierno de Datos. Estas áreas no son necesariamente técnicas: pueden ser áreas no especializadas en TI que gestionan datos como parte de su función diaria. La "Oficina de Gobierno de Datos" es el término genérico para la función de gobierno de datos descrita en 3.1 (Oficina dedicada o área existente que la asuma); mientras la entidad no haya formalizado esa función (pregunta 3.1, niveles 0 a 2), la referencia se entiende hecha al OGD.</t>
  </si>
  <si>
    <t>Se espera que las áreas que gestionan los datos en su operación diaria mejoren continuamente sus prácticas, logrando eficiencia y consistencia en la recopilación, almacenamiento y mantenimiento de los datos bajo su responsabilidad. La mejora implica que estas áreas respondan formalmente a la Oficina de Gobierno de Datos, con coordinación y prioridades definidas en conjunto. Ejemplo: El área de trámite documentario, sin ser un área técnica, reporta periódicamente a la Oficina de Gobierno de Datos el estado de sus registros y sigue los lineamientos de calidad que esta define.</t>
  </si>
  <si>
    <t>7.8</t>
  </si>
  <si>
    <t>Inventario de repositorios físicos y custodios tecnológicos</t>
  </si>
  <si>
    <t>¿Se ha documentado y se mantiene actualizado un mapa o inventario exhaustivo que identifique los repositorios físicos donde residen los conjuntos de datos críticos (datos maestros, datos sensibles), y se conoce quién es el custodio tecnológico de cada repositorio?</t>
  </si>
  <si>
    <t>No existe un mapa o inventario de repositorios físicos.</t>
  </si>
  <si>
    <t>Se tiene un listado parcial e informal de las bases de datos principales.</t>
  </si>
  <si>
    <t>Se han identificado los repositorios físicos subyacentes vinculados a los dominios lógicos, pero la documentación del custodio es incompleta.</t>
  </si>
  <si>
    <t>Se ha documentado e inventariado los repositorios físicos de datos críticos, y se conoce su custodio tecnológico.</t>
  </si>
  <si>
    <t>El inventario se mantiene activamente, asegurando que abarca todos los repositorios relevantes y se alinea con la arquitectura de datos.</t>
  </si>
  <si>
    <t>Se han implementado herramientas de gestión de metadatos para mantener el inventario en tiempo real, garantizando la trazabilidad de los datos críticos en todos los repositorios.</t>
  </si>
  <si>
    <t>Evalúa si la entidad ha documentado y mantiene actualizado un mapa o inventario exhaustivo que identifique los repositorios físicos (bases de datos, data lakes, sistemas de archivos) donde residen los conjuntos de datos críticos (datos maestros, datos sensibles), y si se conoce quién es el custodio tecnológico de cada repositorio.</t>
  </si>
  <si>
    <t>Se espera que herramientas de gestión de metadatos mantengan el inventario en tiempo real, garantizando la trazabilidad de los datos críticos en todos los repositorios. La mejora implica documentar el inventario y asignar custodios tecnológicos identificables. Ejemplo: La entidad documenta que el padrón de contribuyentes reside en un servidor específico, bajo la custodia tecnológica del área de TI, con responsable nominado.</t>
  </si>
  <si>
    <t>7.9</t>
  </si>
  <si>
    <t>Reportería institucional basada en un repositorio único de datos</t>
  </si>
  <si>
    <t>¿La entidad cuenta con un repositorio de datos consolidado (ej. Data Warehouse, Data Marts, Data Lake/Lakehouse u otra solución equivalente) que sirva como fuente única y confiable para la elaboración de reportes y tableros de gestión institucional?</t>
  </si>
  <si>
    <t>No existe ningún repositorio consolidado; los reportes se elaboran manualmente por cada área, a partir de sus propias fuentes.</t>
  </si>
  <si>
    <t>Existen reportes elaborados de forma aislada por distintas áreas, con datos que no coinciden entre sí.</t>
  </si>
  <si>
    <t>Se está construyendo un repositorio consolidado, aún no utilizado de forma generalizada.</t>
  </si>
  <si>
    <t>Existe un repositorio consolidado que sirve como fuente única para los reportes de las áreas prioritarias.</t>
  </si>
  <si>
    <t>El repositorio consolidado cubre la mayoría de las áreas de la entidad, con tableros de gestión que incluyen proyecciones y se actualizan regularmente.</t>
  </si>
  <si>
    <t>El repositorio consolidado opera en tiempo real o casi real, y es la fuente obligatoria para todo reporte de gestión institucional.</t>
  </si>
  <si>
    <t>Evalúa si la entidad cuenta con un repositorio de datos consolidado que sirva como fuente única y confiable para la elaboración de reportes y tableros de gestión institucional. Lo que se evalúa es la existencia y el uso de esa fuente única, no una tecnología específica: puede tratarse de un Data Warehouse, Data Marts, un Data Lake/Lakehouse u otra solución equivalente. Se distingue de contar con herramientas (7.3) o con procesos técnicos definidos (7.6). El nivel 0 ya cubre la ausencia de repositorio consolidado, sin que esto implique necesariamente inmadurez cuando el volumen de reportería de la entidad no lo justifica.</t>
  </si>
  <si>
    <t>Se espera que el repositorio opere en tiempo real o casi real, siendo la fuente obligatoria para todo reporte de gestión institucional. La mejora implica consolidar un repositorio único, evitando que cada área elabore reportes con datos que no coinciden entre sí. Ejemplo: Todas las áreas de la entidad usan el mismo Data Mart para elaborar sus reportes mensuales de gestión, en vez de mantener hojas de cálculo independientes con cifras distintas.</t>
  </si>
  <si>
    <t>7.10</t>
  </si>
  <si>
    <t>Integración interna de sistemas de información</t>
  </si>
  <si>
    <t>¿En qué grado los sistemas de información de la entidad están integrados entre sí (mediante APIs internas, un bus de integración, procesos batch u otro mecanismo formal), evitando la operación de silos de información aislados?</t>
  </si>
  <si>
    <t>Los sistemas de información operan como silos aislados, sin ningún mecanismo de integración entre ellos.</t>
  </si>
  <si>
    <t>La integración entre sistemas es manual o mediante intercambio de archivos ad-hoc (ej. exportar/importar hojas de cálculo).</t>
  </si>
  <si>
    <t>Se están desarrollando mecanismos de integración para algunos sistemas, de forma inconsistente.</t>
  </si>
  <si>
    <t>Los sistemas críticos están integrados mediante un mecanismo formal (ej. APIs internas, bus de integración, procesos batch documentados o una base de datos unificada).</t>
  </si>
  <si>
    <t>La integración es monitoreada y cubre la mayoría de los sistemas de información de la entidad.</t>
  </si>
  <si>
    <t>La arquitectura de integración está optimizada, con mecanismos en tiempo real donde se requiere, eliminando duplicidad de captura de datos entre sistemas.</t>
  </si>
  <si>
    <t>Evalúa si los sistemas de información propios de la entidad se comunican entre sí de forma automatizada, en vez de operar como silos aislados que requieren digitación manual repetida de un mismo dato. Se refiere a la integración interna —distinta de D8, que evalúa la interoperabilidad con otras entidades— y responde a la debilidad de "sistemas aislados (silos)" que la ENGD identifica a nivel nacional. Es válido cualquier mecanismo formal equivalente a los citados en las opciones, incluida una arquitectura de base de datos unificada que haga innecesaria la integración.</t>
  </si>
  <si>
    <t>Se espera una arquitectura de integración optimizada, con mecanismos en tiempo real donde se requiere, que elimine la duplicidad de captura de datos entre sistemas. La mejora implica establecer mecanismos formales de integración para los sistemas críticos, más allá del intercambio manual de archivos. Ejemplo: El sistema de trámites y el sistema de gestión documental de la entidad están conectados mediante una API interna, de modo que un expediente se actualiza automáticamente en ambos sistemas sin doble digitación.</t>
  </si>
  <si>
    <t>D8. INTEROPERABILIDAD Y DATOS ABIERTOS</t>
  </si>
  <si>
    <t>8.1</t>
  </si>
  <si>
    <t>Publicación de datos abiertos en la PNDA</t>
  </si>
  <si>
    <t>¿Cuál es el nivel de publicación de datos gubernamentales en formatos abiertos en la Plataforma Nacional de Datos Abiertos (PNDA), incluyendo la priorización de Datos de Alto Valor (DAV), la anonimización de datos personales cuando corresponda, y la publicación de su Plan de Apertura de Datos?</t>
  </si>
  <si>
    <t>No se publican datos en la PNDA.</t>
  </si>
  <si>
    <t>Se han realizado publicaciones esporádicas sin planificación, anonimización o formatos abiertos.</t>
  </si>
  <si>
    <t>Se están publicando algunos conjuntos de datos, pero la priorización o la publicación de planes son inconsistentes.</t>
  </si>
  <si>
    <t>La entidad ha formalizado y comparte con la SGTD su Plan de Apertura de Datos, con criterios definidos de priorización de Datos de Alto Valor (DAV) y de anonimización de datos personales cuando corresponda, aunque la publicación sistemática en la PNDA conforme a ese Plan todavía esté en desarrollo.</t>
  </si>
  <si>
    <t>Se publican sistemáticamente datos en formatos abiertos en la PNDA, priorizando Datos de Alto Valor (DAV) y anonimizando los datos personales cuando corresponda, conforme al Plan; el proceso de publicación es monitoreado para asegurar su calidad y cumplimiento, y se interactúa con los usuarios de los datos.</t>
  </si>
  <si>
    <t>La publicación de datos abiertos es proactiva, responde a las necesidades de la sociedad, y se buscan activamente nuevas oportunidades para liberar Datos de Alto Valor (DAV), siguiendo los lineamientos de priorización que emite la SGTD.</t>
  </si>
  <si>
    <t>Evalúa el nivel de publicación de datos gubernamentales en formatos abiertos en la PNDA, incluyendo la priorización de Datos de Alto Valor (DAV) —conforme a los lineamientos que emite la SGTD, ENGD Acción A.3.1.2— y la anonimización de datos personales cuando corresponda. El Plan de Apertura de Datos debe ser comunicado a la SGTD.</t>
  </si>
  <si>
    <t>Se espera que la entidad busque activamente nuevas oportunidades para liberar Datos de Alto Valor, siguiendo los lineamientos de priorización de la SGTD. La mejora implica publicar sistemáticamente, no sólo de forma esporádica, y anonimizar los datos personales cuando corresponda, antes de publicar. Ejemplo: La entidad publica en la PNDA el dataset "Presupuesto Ejecutado por Proyectos", identificado como DAV por la SGTD, con un cronograma de actualización trimestral.</t>
  </si>
  <si>
    <t>8.2</t>
  </si>
  <si>
    <t>Publicación de datos georreferenciados en GEOPERÚ</t>
  </si>
  <si>
    <t>¿En qué grado se comparten y/o publican datos georreferenciados en la Plataforma Nacional de Datos Georreferenciados (GEOPERÚ) para el análisis y la toma de decisiones estratégicas?</t>
  </si>
  <si>
    <t>No se comparten o publican datos georreferenciados en GEOPERÚ.</t>
  </si>
  <si>
    <t>Se ha compartido o publicado algún dato georreferenciado de forma puntual, únicamente ante una solicitud específica, sin que la entidad haya iniciado un esfuerzo propio de publicación regular.</t>
  </si>
  <si>
    <t>La entidad ha iniciado esfuerzos propios para publicar datos georreferenciados en GEOPERÚ de forma regular, aunque todavía de manera limitada o inconsistente.</t>
  </si>
  <si>
    <t>Se comparten y/o publican regularmente datos georreferenciados en GEOPERÚ de manera formal y consistente.</t>
  </si>
  <si>
    <t>La publicación es monitoreada, y se promueve el uso de estos datos en análisis y toma de decisiones estratégicas.</t>
  </si>
  <si>
    <t>La publicación de datos georreferenciados es un proceso optimizado, fomentando la innovación y el uso estratégico de la información espacial para el desarrollo regional y local.</t>
  </si>
  <si>
    <t>Sí — entidades cuyo mandato no genera información con componente geográfico/espacial.</t>
  </si>
  <si>
    <t>Evalúa el grado en que se comparten y/o publican datos georreferenciados en la Plataforma Nacional de Datos Georreferenciados (GEOPERÚ) para el análisis y la toma de decisiones estratégicas. No aplica a entidades cuyo mandato no genera información con componente geográfico/espacial (ver sección 5.1).</t>
  </si>
  <si>
    <t>Se espera un proceso optimizado que fomente la innovación y el uso estratégico de la información espacial. La mejora implica publicar de forma regular y formal, no solo bajo solicitud puntual. Ejemplo: Un gobierno regional publica en GEOPERÚ sus mapas de zonificación territorial, actualizados cada semestre.</t>
  </si>
  <si>
    <t>8.3</t>
  </si>
  <si>
    <t>Consumo de servicios de información vía PIDE (rol consumidor)</t>
  </si>
  <si>
    <t>¿La entidad consume servicios web de información de otras entidades a través de la Plataforma de Interoperabilidad del Estado (PIDE), conforme al DS 029-2021-PCM Art. 88.5?</t>
  </si>
  <si>
    <t>No existen mecanismos de consumo de servicios vía PIDE; el intercambio (si existe) se realiza por medios manuales o alternativos no autorizados.</t>
  </si>
  <si>
    <t>Se reconoce la PIDE, pero el consumo de servicios se realiza por medios alternativos.</t>
  </si>
  <si>
    <t>Se realizan pruebas iniciales de consumo de servicios web a través de la PIDE.</t>
  </si>
  <si>
    <t>La entidad consume formalmente servicios web de la PIDE (ej. validación de identidad vía RENIEC) para sus trámites y procesos.</t>
  </si>
  <si>
    <t>Los principales sistemas y trámites de la entidad están diseñados para consumir datos en tiempo real mediante la PIDE.</t>
  </si>
  <si>
    <t>El consumo de servicios vía PIDE es integral, eliminando la solicitud de documentos innecesarios al ciudadano gracias a la interoperabilidad.</t>
  </si>
  <si>
    <t>Evalúa si la entidad consume servicios web de información de otras entidades a través de la Plataforma de Interoperabilidad del Estado (PIDE), conforme al DS 029-2021-PCM Art. 88.3.b y 88.5, cuyo uso es obligatorio y excluye plataformas alternativas.</t>
  </si>
  <si>
    <t>Se espera que el consumo de servicios vía PIDE sea integral, eliminando la solicitud de documentos innecesarios al ciudadano. La mejora implica migrar cualquier mecanismo de intercambio bilateral existente hacia la PIDE. Ejemplo: El sistema de trámites de la entidad consume el servicio de validación de identidad de RENIEC a través de la PIDE, eliminando la exigencia de copia de DNI al ciudadano.</t>
  </si>
  <si>
    <t>8.4</t>
  </si>
  <si>
    <t>Publicación de servicios de información vía PIDE (rol proveedor)</t>
  </si>
  <si>
    <t>¿La entidad publica servicios web de información propios en la Plataforma de Interoperabilidad del Estado (PIDE) para que otras entidades los consuman, cuando su mandato institucional lo amerita?</t>
  </si>
  <si>
    <t>La entidad no publica servicios web en la PIDE.</t>
  </si>
  <si>
    <t>Se han identificado posibles servicios a publicar, sin implementación.</t>
  </si>
  <si>
    <t>Se están desarrollando e implementando los primeros servicios web para publicación.</t>
  </si>
  <si>
    <t>La entidad ha publicado formalmente servicios web en la PIDE, disponibles para otras entidades.</t>
  </si>
  <si>
    <t>Los servicios publicados son de uso activo por otras entidades, con monitoreo de su disponibilidad y calidad.</t>
  </si>
  <si>
    <t>La entidad es referente como proveedora de servicios de información, ampliando continuamente su catálogo de servicios interoperables.</t>
  </si>
  <si>
    <t>Sí — solo con análisis documentado de que la entidad no tiene datos propios de interés para otras entidades; sujeto a revisión del evaluador.</t>
  </si>
  <si>
    <t>Evalúa si la entidad publica servicios web de información propios en la PIDE para que otras entidades los consuman, cuando su mandato institucional lo amerite. No aplica a entidades que, tras análisis diligente, no identifican ningún conjunto de datos propio de interés para otras entidades (ver sección 5.1 — se espera que sea la excepción, no la norma).</t>
  </si>
  <si>
    <t>Se espera que la entidad sea referente como proveedora de servicios de información, ampliando continuamente su catálogo de servicios interoperables. La mejora implica identificar y publicar servicios propios de utilidad para otras entidades. Ejemplo: Una entidad que administra un registro sectorial publica un servicio web en la PIDE para que otras entidades verifiquen el estado de habilitación de un profesional.</t>
  </si>
  <si>
    <t>8.5</t>
  </si>
  <si>
    <t>Estándares y principios FAIR</t>
  </si>
  <si>
    <t>¿En qué grado la entidad adopta o establece estándares y mecanismos para la interoperabilidad, promoviendo y exigiendo el cumplimiento de estándares técnicos y prácticas que hagan los datos FAIR (Findable, Accessible, Interoperable, Reusable)?</t>
  </si>
  <si>
    <t>No hay esfuerzos por establecer estándares o mecanismos de interoperabilidad.</t>
  </si>
  <si>
    <t>La interoperabilidad se logra de forma puntual o mediante acuerdos informales.</t>
  </si>
  <si>
    <t>Se están definiendo o adoptando algunos estándares de interoperabilidad, pero la aplicación o el cumplimiento de los principios FAIR es inconsistente.</t>
  </si>
  <si>
    <t>Se han adoptado o establecido formalmente estándares y mecanismos para la interoperabilidad, y se promueve el cumplimiento de los principios FAIR.</t>
  </si>
  <si>
    <t>La aplicación de los estándares de interoperabilidad y los principios FAIR es monitoreada y se mide su impacto en la reutilización de datos.</t>
  </si>
  <si>
    <t>La entidad es un referente en la implementación de datos FAIR, liderando la adopción de estándares y fomentando un ecosistema de datos interoperables.</t>
  </si>
  <si>
    <t>Evalúa el establecimiento o la adopción de estándares y mecanismos para la interoperabilidad, promoviendo y exigiendo el cumplimiento de estándares técnicos y prácticas que hagan los datos FAIR. La entidad puede satisfacer este criterio adoptando los lineamientos nacionales que emite la SGTD (ENGD, Acciones A.3.2.1-A.3.2.3: identificadores únicos, vocabularios, lineamientos FAIR), estableciendo mecanismos propios complementarios, o ambos — lo que se evalúa es el cumplimiento efectivo de los principios FAIR, no la autoría de los estándares.</t>
  </si>
  <si>
    <t>Se espera que la entidad sea un referente en la implementación de datos FAIR, liderando la adopción de estándares y fomentando un ecosistema de datos interoperables. La mejora implica formalizar o adoptar estándares y medir su impacto en la reutilización de datos. Ejemplo: La entidad exige que todo nuevo dataset publicado cumpla los 4 principios FAIR antes de su liberación, ya sea mediante lineamientos propios o los que emita la SGTD.</t>
  </si>
  <si>
    <t>8.6</t>
  </si>
  <si>
    <t>Catálogo de APIs para acceso y consumo masivo de datos</t>
  </si>
  <si>
    <t>¿Se cuenta con un catálogo para el acceso y consumo masivo de datos por medio de APIs?</t>
  </si>
  <si>
    <t>No existe un catálogo de datos para acceso vía APIs.</t>
  </si>
  <si>
    <t>Se tienen APIs desarrolladas ad-hoc, pero sin un catálogo o documentación de acceso.</t>
  </si>
  <si>
    <t>Se está desarrollando un catálogo inicial de datos, pero el acceso vía API o su documentación es limitada.</t>
  </si>
  <si>
    <t>La institución ha creado y mantiene un catálogo organizado que permite el acceso a sus datos a través de APIs.</t>
  </si>
  <si>
    <t>Se cuenta con documentación clara y completa sobre cómo utilizar las APIs, fomentando el consumo masivo de datos y su reutilización.</t>
  </si>
  <si>
    <t>Se han implementado APIs RESTful Gubernamentales estandarizadas y seguras, y el catálogo es un pilar para el intercambio de datos entre instituciones y con terceros.</t>
  </si>
  <si>
    <t>Evalúa si la entidad pone sus datos a disposición mediante APIs —interfaces que permiten a otros sistemas consultarlos de forma automatizada— y si estas se organizan en un catálogo que indique qué APIs existen, qué datos ofrecen, cómo acceder a ellas y bajo qué condiciones, de modo que terceros puedan reutilizar los datos sin solicitudes caso por caso. Se distingue de 8.4, que evalúa los servicios de información publicados en la PIDE.</t>
  </si>
  <si>
    <t>Se espera que el catálogo sea un pilar para el intercambio de datos entre instituciones y con terceros, con APIs RESTful Gubernamentales estandarizadas y seguras. La mejora implica crear y documentar el catálogo, más allá de tener APIs desarrolladas de forma aislada. Ejemplo: La entidad publica un catálogo de 10 APIs documentadas, con ejemplos de uso, que permiten a desarrolladores externos consumir sus datos abiertos de forma masiva.</t>
  </si>
  <si>
    <t>N° preguntas</t>
  </si>
  <si>
    <t>N° respondidas (aplicables)</t>
  </si>
  <si>
    <t>Promedio de la dimensión</t>
  </si>
  <si>
    <t>Nivel de madurez</t>
  </si>
  <si>
    <t>PUNTAJE FINAL (promedio de las 8 dimensiones)</t>
  </si>
  <si>
    <t>Nota metodológica: el promedio de cada dimensión y el Puntaje Final excluyen automáticamente del denominador las preguntas marcadas "NA" y las no respondidas (la función AVERAGE de Excel/LibreOffice ignora texto y celdas vacías). Si una dimensión no tiene ninguna respuesta numérica registrada, su promedio y nivel se muestran en blanco hasta que se complete al menos una 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</si>
</sst>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name val="Arial"/>
      <charset val="1"/>
    </font>
    <font>
      <sz val="11"/>
      <name val="Arial"/>
      <charset val="1"/>
    </font>
    <font>
      <sz val="10"/>
      <name val="Arial"/>
      <charset val="1"/>
    </font>
    <font>
      <b/>
      <sz val="12"/>
      <name val="Arial"/>
      <charset val="1"/>
    </font>
    <font>
      <b/>
      <sz val="11"/>
      <name val="Arial"/>
      <charset val="1"/>
    </font>
    <font>
      <b/>
      <sz val="10"/>
      <color rgb="FFFFFFFF"/>
      <name val="Arial"/>
      <charset val="1"/>
    </font>
    <font>
      <i/>
      <sz val="9"/>
      <color rgb="FF515458"/>
      <name val="Arial"/>
      <charset val="1"/>
    </font>
    <font>
      <b/>
      <sz val="10"/>
      <name val="Arial"/>
      <charset val="1"/>
    </font>
    <font>
      <b/>
      <sz val="12"/>
      <color rgb="FF1363D0"/>
      <name val="Arial"/>
      <charset val="1"/>
    </font>
  </fonts>
  <fills count="4">
    <fill>
      <patternFill patternType="none"/>
    </fill>
    <fill>
      <patternFill patternType="gray125"/>
    </fill>
    <fill>
      <patternFill patternType="solid">
        <fgColor rgb="FF1363D0"/>
        <bgColor rgb="FF3366FF"/>
      </patternFill>
    </fill>
    <fill>
      <patternFill patternType="solid">
        <fgColor rgb="FFFFFF00"/>
        <bgColor rgb="FFFFFF00"/>
      </patternFill>
    </fill>
  </fills>
  <borders count="3">
    <border>
      <left/>
      <right/>
      <top/>
      <bottom/>
      <diagonal/>
    </border>
    <border>
      <left style="thin">
        <color rgb="FFDEE3EA"/>
      </left>
      <right style="thin">
        <color rgb="FFDEE3EA"/>
      </right>
      <top style="thin">
        <color rgb="FFDEE3EA"/>
      </top>
      <bottom style="thin">
        <color rgb="FFDEE3EA"/>
      </bottom>
      <diagonal/>
    </border>
    <border>
      <left/>
      <right/>
      <top style="medium">
        <color auto="1"/>
      </top>
      <bottom style="medium">
        <color auto="1"/>
      </bottom>
      <diagonal/>
    </border>
  </borders>
  <cellStyleXfs count="1">
    <xf numFmtId="0" fontId="0" fillId="0" borderId="0"/>
  </cellStyleXfs>
  <cellXfs count="1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xf numFmtId="0" fontId="3" fillId="0" borderId="0" xfId="0" applyFont="1"/>
    <xf numFmtId="0" fontId="7" fillId="0" borderId="0" xfId="0" applyFont="1" applyAlignment="1">
      <alignment vertical="top" wrapText="1"/>
    </xf>
    <xf numFmtId="0" fontId="6" fillId="2" borderId="1" xfId="0" applyFont="1" applyFill="1" applyBorder="1" applyAlignment="1">
      <alignment horizontal="center" vertical="center" wrapText="1"/>
    </xf>
    <xf numFmtId="0" fontId="3" fillId="0" borderId="1" xfId="0" applyFont="1" applyBorder="1" applyAlignment="1">
      <alignment vertical="top" wrapText="1"/>
    </xf>
    <xf numFmtId="0" fontId="8" fillId="0" borderId="1" xfId="0" applyFont="1" applyBorder="1" applyAlignment="1">
      <alignment horizontal="center" vertical="top" wrapText="1"/>
    </xf>
    <xf numFmtId="0" fontId="8" fillId="3" borderId="1" xfId="0" applyFont="1" applyFill="1" applyBorder="1" applyAlignment="1">
      <alignment horizontal="center" vertical="top" wrapText="1"/>
    </xf>
    <xf numFmtId="0" fontId="3" fillId="0" borderId="1" xfId="0" applyFont="1" applyBorder="1" applyAlignment="1">
      <alignment horizontal="center" vertical="top" wrapText="1"/>
    </xf>
    <xf numFmtId="2" fontId="8" fillId="0" borderId="1" xfId="0" applyNumberFormat="1" applyFont="1" applyBorder="1" applyAlignment="1">
      <alignment horizontal="center" vertical="top" wrapText="1"/>
    </xf>
    <xf numFmtId="0" fontId="4" fillId="0" borderId="2" xfId="0" applyFont="1" applyBorder="1"/>
    <xf numFmtId="0" fontId="0" fillId="0" borderId="2" xfId="0" applyBorder="1"/>
    <xf numFmtId="2" fontId="9" fillId="0" borderId="2" xfId="0" applyNumberFormat="1" applyFont="1" applyBorder="1" applyAlignment="1">
      <alignment horizontal="center" vertical="top" wrapText="1"/>
    </xf>
    <xf numFmtId="0" fontId="4"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363D0"/>
      <rgbColor rgb="FFDE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15458"/>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zoomScaleNormal="100" workbookViewId="0">
      <selection activeCell="A22" sqref="A22"/>
    </sheetView>
  </sheetViews>
  <sheetFormatPr baseColWidth="10" defaultColWidth="8.7109375" defaultRowHeight="15" x14ac:dyDescent="0.25"/>
  <cols>
    <col min="1" max="1" width="100" customWidth="1"/>
    <col min="2" max="2" width="36.28515625" customWidth="1"/>
  </cols>
  <sheetData>
    <row r="1" spans="1:2" ht="36" x14ac:dyDescent="0.25">
      <c r="A1" s="1" t="s">
        <v>0</v>
      </c>
    </row>
    <row r="2" spans="1:2" x14ac:dyDescent="0.25">
      <c r="A2" s="2" t="s">
        <v>1</v>
      </c>
    </row>
    <row r="3" spans="1:2" x14ac:dyDescent="0.25">
      <c r="A3" s="3"/>
    </row>
    <row r="4" spans="1:2" ht="15.75" x14ac:dyDescent="0.25">
      <c r="A4" s="4" t="s">
        <v>2</v>
      </c>
    </row>
    <row r="5" spans="1:2" ht="25.5" x14ac:dyDescent="0.25">
      <c r="A5" s="3" t="s">
        <v>3</v>
      </c>
    </row>
    <row r="6" spans="1:2" ht="25.5" x14ac:dyDescent="0.25">
      <c r="A6" s="3" t="s">
        <v>4</v>
      </c>
    </row>
    <row r="7" spans="1:2" ht="51" x14ac:dyDescent="0.25">
      <c r="A7" s="3" t="s">
        <v>5</v>
      </c>
    </row>
    <row r="8" spans="1:2" ht="25.5" x14ac:dyDescent="0.25">
      <c r="A8" s="3" t="s">
        <v>6</v>
      </c>
    </row>
    <row r="9" spans="1:2" ht="51" x14ac:dyDescent="0.25">
      <c r="A9" s="3" t="s">
        <v>7</v>
      </c>
    </row>
    <row r="10" spans="1:2" ht="38.25" x14ac:dyDescent="0.25">
      <c r="A10" s="3" t="s">
        <v>8</v>
      </c>
    </row>
    <row r="11" spans="1:2" x14ac:dyDescent="0.25">
      <c r="A11" s="3"/>
    </row>
    <row r="12" spans="1:2" ht="30" x14ac:dyDescent="0.25">
      <c r="A12" s="5" t="s">
        <v>9</v>
      </c>
    </row>
    <row r="14" spans="1:2" x14ac:dyDescent="0.25">
      <c r="A14" s="6" t="s">
        <v>10</v>
      </c>
      <c r="B14" s="6" t="s">
        <v>11</v>
      </c>
    </row>
    <row r="15" spans="1:2" x14ac:dyDescent="0.25">
      <c r="A15" s="7">
        <v>0</v>
      </c>
      <c r="B15" s="7" t="s">
        <v>12</v>
      </c>
    </row>
    <row r="16" spans="1:2" x14ac:dyDescent="0.25">
      <c r="A16" s="7">
        <v>1</v>
      </c>
      <c r="B16" s="7" t="s">
        <v>13</v>
      </c>
    </row>
    <row r="17" spans="1:2" x14ac:dyDescent="0.25">
      <c r="A17" s="7">
        <v>2</v>
      </c>
      <c r="B17" s="7" t="s">
        <v>14</v>
      </c>
    </row>
    <row r="18" spans="1:2" x14ac:dyDescent="0.25">
      <c r="A18" s="7">
        <v>3</v>
      </c>
      <c r="B18" s="7" t="s">
        <v>15</v>
      </c>
    </row>
    <row r="19" spans="1:2" x14ac:dyDescent="0.25">
      <c r="A19" s="7">
        <v>4</v>
      </c>
      <c r="B19" s="7" t="s">
        <v>16</v>
      </c>
    </row>
    <row r="20" spans="1:2" x14ac:dyDescent="0.25">
      <c r="A20" s="7">
        <v>5</v>
      </c>
      <c r="B20" s="7" t="s">
        <v>17</v>
      </c>
    </row>
    <row r="22" spans="1:2" ht="24" x14ac:dyDescent="0.25">
      <c r="A22" s="8" t="s">
        <v>18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6"/>
  <sheetViews>
    <sheetView showGridLines="0" tabSelected="1" zoomScaleNormal="100" workbookViewId="0">
      <pane ySplit="1" topLeftCell="A2" activePane="bottomLeft" state="frozen"/>
      <selection pane="bottomLeft" sqref="A1:XFD1048576"/>
    </sheetView>
  </sheetViews>
  <sheetFormatPr baseColWidth="10" defaultColWidth="8.7109375" defaultRowHeight="15" x14ac:dyDescent="0.25"/>
  <cols>
    <col min="1" max="1" width="16.140625" bestFit="1" customWidth="1"/>
    <col min="2" max="2" width="4.5703125" bestFit="1" customWidth="1"/>
    <col min="3" max="3" width="28" customWidth="1"/>
    <col min="4" max="4" width="42" customWidth="1"/>
    <col min="5" max="6" width="30" customWidth="1"/>
    <col min="7" max="7" width="29.85546875" bestFit="1" customWidth="1"/>
    <col min="8" max="10" width="30" customWidth="1"/>
    <col min="11" max="11" width="25" bestFit="1" customWidth="1"/>
    <col min="12" max="12" width="14" customWidth="1"/>
    <col min="13" max="14" width="40" customWidth="1"/>
  </cols>
  <sheetData>
    <row r="1" spans="1:14" ht="25.5" x14ac:dyDescent="0.25">
      <c r="A1" s="9" t="s">
        <v>19</v>
      </c>
      <c r="B1" s="9" t="s">
        <v>20</v>
      </c>
      <c r="C1" s="9" t="s">
        <v>21</v>
      </c>
      <c r="D1" s="9" t="s">
        <v>22</v>
      </c>
      <c r="E1" s="9" t="s">
        <v>23</v>
      </c>
      <c r="F1" s="9" t="s">
        <v>24</v>
      </c>
      <c r="G1" s="9" t="s">
        <v>25</v>
      </c>
      <c r="H1" s="9" t="s">
        <v>26</v>
      </c>
      <c r="I1" s="9" t="s">
        <v>27</v>
      </c>
      <c r="J1" s="9" t="s">
        <v>28</v>
      </c>
      <c r="K1" s="9" t="s">
        <v>29</v>
      </c>
      <c r="L1" s="9" t="s">
        <v>30</v>
      </c>
      <c r="M1" s="9" t="s">
        <v>31</v>
      </c>
      <c r="N1" s="9" t="s">
        <v>32</v>
      </c>
    </row>
    <row r="2" spans="1:14" ht="127.5" x14ac:dyDescent="0.25">
      <c r="A2" s="10" t="s">
        <v>33</v>
      </c>
      <c r="B2" s="11" t="s">
        <v>34</v>
      </c>
      <c r="C2" s="10" t="s">
        <v>35</v>
      </c>
      <c r="D2" s="10" t="s">
        <v>36</v>
      </c>
      <c r="E2" s="10" t="s">
        <v>37</v>
      </c>
      <c r="F2" s="10" t="s">
        <v>38</v>
      </c>
      <c r="G2" s="10" t="s">
        <v>39</v>
      </c>
      <c r="H2" s="10" t="s">
        <v>40</v>
      </c>
      <c r="I2" s="10" t="s">
        <v>41</v>
      </c>
      <c r="J2" s="10" t="s">
        <v>42</v>
      </c>
      <c r="K2" s="10" t="s">
        <v>43</v>
      </c>
      <c r="L2" s="12"/>
      <c r="M2" s="10" t="s">
        <v>44</v>
      </c>
      <c r="N2" s="10" t="s">
        <v>45</v>
      </c>
    </row>
    <row r="3" spans="1:14" ht="102" x14ac:dyDescent="0.25">
      <c r="A3" s="10" t="s">
        <v>33</v>
      </c>
      <c r="B3" s="11" t="s">
        <v>46</v>
      </c>
      <c r="C3" s="10" t="s">
        <v>47</v>
      </c>
      <c r="D3" s="10" t="s">
        <v>48</v>
      </c>
      <c r="E3" s="10" t="s">
        <v>49</v>
      </c>
      <c r="F3" s="10" t="s">
        <v>50</v>
      </c>
      <c r="G3" s="10" t="s">
        <v>51</v>
      </c>
      <c r="H3" s="10" t="s">
        <v>52</v>
      </c>
      <c r="I3" s="10" t="s">
        <v>53</v>
      </c>
      <c r="J3" s="10" t="s">
        <v>54</v>
      </c>
      <c r="K3" s="10" t="s">
        <v>43</v>
      </c>
      <c r="L3" s="12"/>
      <c r="M3" s="10" t="s">
        <v>55</v>
      </c>
      <c r="N3" s="10" t="s">
        <v>56</v>
      </c>
    </row>
    <row r="4" spans="1:14" ht="140.25" x14ac:dyDescent="0.25">
      <c r="A4" s="10" t="s">
        <v>33</v>
      </c>
      <c r="B4" s="11" t="s">
        <v>57</v>
      </c>
      <c r="C4" s="10" t="s">
        <v>58</v>
      </c>
      <c r="D4" s="10" t="s">
        <v>59</v>
      </c>
      <c r="E4" s="10" t="s">
        <v>60</v>
      </c>
      <c r="F4" s="10" t="s">
        <v>61</v>
      </c>
      <c r="G4" s="10" t="s">
        <v>62</v>
      </c>
      <c r="H4" s="10" t="s">
        <v>63</v>
      </c>
      <c r="I4" s="10" t="s">
        <v>64</v>
      </c>
      <c r="J4" s="10" t="s">
        <v>65</v>
      </c>
      <c r="K4" s="10" t="s">
        <v>43</v>
      </c>
      <c r="L4" s="12"/>
      <c r="M4" s="10" t="s">
        <v>66</v>
      </c>
      <c r="N4" s="10" t="s">
        <v>67</v>
      </c>
    </row>
    <row r="5" spans="1:14" ht="204" x14ac:dyDescent="0.25">
      <c r="A5" s="10" t="s">
        <v>33</v>
      </c>
      <c r="B5" s="11" t="s">
        <v>68</v>
      </c>
      <c r="C5" s="10" t="s">
        <v>69</v>
      </c>
      <c r="D5" s="10" t="s">
        <v>70</v>
      </c>
      <c r="E5" s="10" t="s">
        <v>71</v>
      </c>
      <c r="F5" s="10" t="s">
        <v>72</v>
      </c>
      <c r="G5" s="10" t="s">
        <v>73</v>
      </c>
      <c r="H5" s="10" t="s">
        <v>74</v>
      </c>
      <c r="I5" s="10" t="s">
        <v>75</v>
      </c>
      <c r="J5" s="10" t="s">
        <v>76</v>
      </c>
      <c r="K5" s="10" t="s">
        <v>43</v>
      </c>
      <c r="L5" s="12"/>
      <c r="M5" s="10" t="s">
        <v>77</v>
      </c>
      <c r="N5" s="10" t="s">
        <v>78</v>
      </c>
    </row>
    <row r="6" spans="1:14" ht="191.25" x14ac:dyDescent="0.25">
      <c r="A6" s="10" t="s">
        <v>33</v>
      </c>
      <c r="B6" s="11" t="s">
        <v>79</v>
      </c>
      <c r="C6" s="10" t="s">
        <v>80</v>
      </c>
      <c r="D6" s="10" t="s">
        <v>81</v>
      </c>
      <c r="E6" s="10" t="s">
        <v>82</v>
      </c>
      <c r="F6" s="10" t="s">
        <v>83</v>
      </c>
      <c r="G6" s="10" t="s">
        <v>84</v>
      </c>
      <c r="H6" s="10" t="s">
        <v>85</v>
      </c>
      <c r="I6" s="10" t="s">
        <v>86</v>
      </c>
      <c r="J6" s="10" t="s">
        <v>87</v>
      </c>
      <c r="K6" s="10" t="s">
        <v>43</v>
      </c>
      <c r="L6" s="12"/>
      <c r="M6" s="10" t="s">
        <v>88</v>
      </c>
      <c r="N6" s="10" t="s">
        <v>89</v>
      </c>
    </row>
    <row r="7" spans="1:14" ht="127.5" x14ac:dyDescent="0.25">
      <c r="A7" s="10" t="s">
        <v>33</v>
      </c>
      <c r="B7" s="11" t="s">
        <v>90</v>
      </c>
      <c r="C7" s="10" t="s">
        <v>91</v>
      </c>
      <c r="D7" s="10" t="s">
        <v>92</v>
      </c>
      <c r="E7" s="10" t="s">
        <v>93</v>
      </c>
      <c r="F7" s="10" t="s">
        <v>94</v>
      </c>
      <c r="G7" s="10" t="s">
        <v>95</v>
      </c>
      <c r="H7" s="10" t="s">
        <v>96</v>
      </c>
      <c r="I7" s="10" t="s">
        <v>97</v>
      </c>
      <c r="J7" s="10" t="s">
        <v>98</v>
      </c>
      <c r="K7" s="10" t="s">
        <v>43</v>
      </c>
      <c r="L7" s="12"/>
      <c r="M7" s="10" t="s">
        <v>99</v>
      </c>
      <c r="N7" s="10" t="s">
        <v>100</v>
      </c>
    </row>
    <row r="8" spans="1:14" ht="255" x14ac:dyDescent="0.25">
      <c r="A8" s="10" t="s">
        <v>33</v>
      </c>
      <c r="B8" s="11" t="s">
        <v>101</v>
      </c>
      <c r="C8" s="10" t="s">
        <v>102</v>
      </c>
      <c r="D8" s="10" t="s">
        <v>103</v>
      </c>
      <c r="E8" s="10" t="s">
        <v>104</v>
      </c>
      <c r="F8" s="10" t="s">
        <v>105</v>
      </c>
      <c r="G8" s="10" t="s">
        <v>106</v>
      </c>
      <c r="H8" s="10" t="s">
        <v>107</v>
      </c>
      <c r="I8" s="10" t="s">
        <v>108</v>
      </c>
      <c r="J8" s="10" t="s">
        <v>109</v>
      </c>
      <c r="K8" s="10" t="s">
        <v>43</v>
      </c>
      <c r="L8" s="12"/>
      <c r="M8" s="10" t="s">
        <v>110</v>
      </c>
      <c r="N8" s="10" t="s">
        <v>111</v>
      </c>
    </row>
    <row r="9" spans="1:14" ht="191.25" x14ac:dyDescent="0.25">
      <c r="A9" s="10" t="s">
        <v>33</v>
      </c>
      <c r="B9" s="11" t="s">
        <v>112</v>
      </c>
      <c r="C9" s="10" t="s">
        <v>113</v>
      </c>
      <c r="D9" s="10" t="s">
        <v>114</v>
      </c>
      <c r="E9" s="10" t="s">
        <v>115</v>
      </c>
      <c r="F9" s="10" t="s">
        <v>116</v>
      </c>
      <c r="G9" s="10" t="s">
        <v>117</v>
      </c>
      <c r="H9" s="10" t="s">
        <v>118</v>
      </c>
      <c r="I9" s="10" t="s">
        <v>119</v>
      </c>
      <c r="J9" s="10" t="s">
        <v>120</v>
      </c>
      <c r="K9" s="10" t="s">
        <v>43</v>
      </c>
      <c r="L9" s="12"/>
      <c r="M9" s="10" t="s">
        <v>121</v>
      </c>
      <c r="N9" s="10" t="s">
        <v>122</v>
      </c>
    </row>
    <row r="10" spans="1:14" ht="204" x14ac:dyDescent="0.25">
      <c r="A10" s="10" t="s">
        <v>123</v>
      </c>
      <c r="B10" s="11" t="s">
        <v>124</v>
      </c>
      <c r="C10" s="10" t="s">
        <v>125</v>
      </c>
      <c r="D10" s="10" t="s">
        <v>126</v>
      </c>
      <c r="E10" s="10" t="s">
        <v>127</v>
      </c>
      <c r="F10" s="10" t="s">
        <v>128</v>
      </c>
      <c r="G10" s="10" t="s">
        <v>129</v>
      </c>
      <c r="H10" s="10" t="s">
        <v>130</v>
      </c>
      <c r="I10" s="10" t="s">
        <v>131</v>
      </c>
      <c r="J10" s="10" t="s">
        <v>132</v>
      </c>
      <c r="K10" s="10" t="s">
        <v>43</v>
      </c>
      <c r="L10" s="12"/>
      <c r="M10" s="10" t="s">
        <v>133</v>
      </c>
      <c r="N10" s="10" t="s">
        <v>134</v>
      </c>
    </row>
    <row r="11" spans="1:14" ht="127.5" x14ac:dyDescent="0.25">
      <c r="A11" s="10" t="s">
        <v>123</v>
      </c>
      <c r="B11" s="11" t="s">
        <v>135</v>
      </c>
      <c r="C11" s="10" t="s">
        <v>136</v>
      </c>
      <c r="D11" s="10" t="s">
        <v>137</v>
      </c>
      <c r="E11" s="10" t="s">
        <v>138</v>
      </c>
      <c r="F11" s="10" t="s">
        <v>139</v>
      </c>
      <c r="G11" s="10" t="s">
        <v>140</v>
      </c>
      <c r="H11" s="10" t="s">
        <v>141</v>
      </c>
      <c r="I11" s="10" t="s">
        <v>142</v>
      </c>
      <c r="J11" s="10" t="s">
        <v>143</v>
      </c>
      <c r="K11" s="10" t="s">
        <v>43</v>
      </c>
      <c r="L11" s="12"/>
      <c r="M11" s="10" t="s">
        <v>144</v>
      </c>
      <c r="N11" s="10" t="s">
        <v>145</v>
      </c>
    </row>
    <row r="12" spans="1:14" ht="140.25" x14ac:dyDescent="0.25">
      <c r="A12" s="10" t="s">
        <v>123</v>
      </c>
      <c r="B12" s="11" t="s">
        <v>146</v>
      </c>
      <c r="C12" s="10" t="s">
        <v>147</v>
      </c>
      <c r="D12" s="10" t="s">
        <v>148</v>
      </c>
      <c r="E12" s="10" t="s">
        <v>149</v>
      </c>
      <c r="F12" s="10" t="s">
        <v>150</v>
      </c>
      <c r="G12" s="10" t="s">
        <v>151</v>
      </c>
      <c r="H12" s="10" t="s">
        <v>152</v>
      </c>
      <c r="I12" s="10" t="s">
        <v>153</v>
      </c>
      <c r="J12" s="10" t="s">
        <v>154</v>
      </c>
      <c r="K12" s="10" t="s">
        <v>43</v>
      </c>
      <c r="L12" s="12"/>
      <c r="M12" s="10" t="s">
        <v>155</v>
      </c>
      <c r="N12" s="10" t="s">
        <v>156</v>
      </c>
    </row>
    <row r="13" spans="1:14" ht="127.5" x14ac:dyDescent="0.25">
      <c r="A13" s="10" t="s">
        <v>123</v>
      </c>
      <c r="B13" s="11" t="s">
        <v>157</v>
      </c>
      <c r="C13" s="10" t="s">
        <v>158</v>
      </c>
      <c r="D13" s="10" t="s">
        <v>159</v>
      </c>
      <c r="E13" s="10" t="s">
        <v>160</v>
      </c>
      <c r="F13" s="10" t="s">
        <v>161</v>
      </c>
      <c r="G13" s="10" t="s">
        <v>162</v>
      </c>
      <c r="H13" s="10" t="s">
        <v>163</v>
      </c>
      <c r="I13" s="10" t="s">
        <v>164</v>
      </c>
      <c r="J13" s="10" t="s">
        <v>165</v>
      </c>
      <c r="K13" s="10" t="s">
        <v>43</v>
      </c>
      <c r="L13" s="12"/>
      <c r="M13" s="10" t="s">
        <v>166</v>
      </c>
      <c r="N13" s="10" t="s">
        <v>167</v>
      </c>
    </row>
    <row r="14" spans="1:14" ht="140.25" x14ac:dyDescent="0.25">
      <c r="A14" s="10" t="s">
        <v>123</v>
      </c>
      <c r="B14" s="11" t="s">
        <v>168</v>
      </c>
      <c r="C14" s="10" t="s">
        <v>169</v>
      </c>
      <c r="D14" s="10" t="s">
        <v>170</v>
      </c>
      <c r="E14" s="10" t="s">
        <v>171</v>
      </c>
      <c r="F14" s="10" t="s">
        <v>172</v>
      </c>
      <c r="G14" s="10" t="s">
        <v>173</v>
      </c>
      <c r="H14" s="10" t="s">
        <v>174</v>
      </c>
      <c r="I14" s="10" t="s">
        <v>175</v>
      </c>
      <c r="J14" s="10" t="s">
        <v>176</v>
      </c>
      <c r="K14" s="10" t="s">
        <v>43</v>
      </c>
      <c r="L14" s="12"/>
      <c r="M14" s="10" t="s">
        <v>177</v>
      </c>
      <c r="N14" s="10" t="s">
        <v>178</v>
      </c>
    </row>
    <row r="15" spans="1:14" ht="140.25" x14ac:dyDescent="0.25">
      <c r="A15" s="10" t="s">
        <v>179</v>
      </c>
      <c r="B15" s="11" t="s">
        <v>180</v>
      </c>
      <c r="C15" s="10" t="s">
        <v>181</v>
      </c>
      <c r="D15" s="10" t="s">
        <v>182</v>
      </c>
      <c r="E15" s="10" t="s">
        <v>183</v>
      </c>
      <c r="F15" s="10" t="s">
        <v>184</v>
      </c>
      <c r="G15" s="10" t="s">
        <v>185</v>
      </c>
      <c r="H15" s="10" t="s">
        <v>186</v>
      </c>
      <c r="I15" s="10" t="s">
        <v>187</v>
      </c>
      <c r="J15" s="10" t="s">
        <v>188</v>
      </c>
      <c r="K15" s="10" t="s">
        <v>43</v>
      </c>
      <c r="L15" s="12"/>
      <c r="M15" s="10" t="s">
        <v>189</v>
      </c>
      <c r="N15" s="10" t="s">
        <v>190</v>
      </c>
    </row>
    <row r="16" spans="1:14" ht="114.75" x14ac:dyDescent="0.25">
      <c r="A16" s="10" t="s">
        <v>179</v>
      </c>
      <c r="B16" s="11" t="s">
        <v>191</v>
      </c>
      <c r="C16" s="10" t="s">
        <v>192</v>
      </c>
      <c r="D16" s="10" t="s">
        <v>193</v>
      </c>
      <c r="E16" s="10" t="s">
        <v>194</v>
      </c>
      <c r="F16" s="10" t="s">
        <v>195</v>
      </c>
      <c r="G16" s="10" t="s">
        <v>196</v>
      </c>
      <c r="H16" s="10" t="s">
        <v>197</v>
      </c>
      <c r="I16" s="10" t="s">
        <v>198</v>
      </c>
      <c r="J16" s="10" t="s">
        <v>199</v>
      </c>
      <c r="K16" s="10" t="s">
        <v>43</v>
      </c>
      <c r="L16" s="12"/>
      <c r="M16" s="10" t="s">
        <v>200</v>
      </c>
      <c r="N16" s="10" t="s">
        <v>201</v>
      </c>
    </row>
    <row r="17" spans="1:14" ht="191.25" x14ac:dyDescent="0.25">
      <c r="A17" s="10" t="s">
        <v>179</v>
      </c>
      <c r="B17" s="11" t="s">
        <v>202</v>
      </c>
      <c r="C17" s="10" t="s">
        <v>203</v>
      </c>
      <c r="D17" s="10" t="s">
        <v>204</v>
      </c>
      <c r="E17" s="10" t="s">
        <v>205</v>
      </c>
      <c r="F17" s="10" t="s">
        <v>206</v>
      </c>
      <c r="G17" s="10" t="s">
        <v>207</v>
      </c>
      <c r="H17" s="10" t="s">
        <v>208</v>
      </c>
      <c r="I17" s="10" t="s">
        <v>209</v>
      </c>
      <c r="J17" s="10" t="s">
        <v>210</v>
      </c>
      <c r="K17" s="10" t="s">
        <v>43</v>
      </c>
      <c r="L17" s="12"/>
      <c r="M17" s="10" t="s">
        <v>211</v>
      </c>
      <c r="N17" s="10" t="s">
        <v>212</v>
      </c>
    </row>
    <row r="18" spans="1:14" ht="114.75" x14ac:dyDescent="0.25">
      <c r="A18" s="10" t="s">
        <v>179</v>
      </c>
      <c r="B18" s="11" t="s">
        <v>213</v>
      </c>
      <c r="C18" s="10" t="s">
        <v>214</v>
      </c>
      <c r="D18" s="10" t="s">
        <v>215</v>
      </c>
      <c r="E18" s="10" t="s">
        <v>216</v>
      </c>
      <c r="F18" s="10" t="s">
        <v>217</v>
      </c>
      <c r="G18" s="10" t="s">
        <v>218</v>
      </c>
      <c r="H18" s="10" t="s">
        <v>219</v>
      </c>
      <c r="I18" s="10" t="s">
        <v>220</v>
      </c>
      <c r="J18" s="10" t="s">
        <v>221</v>
      </c>
      <c r="K18" s="10" t="s">
        <v>43</v>
      </c>
      <c r="L18" s="12"/>
      <c r="M18" s="10" t="s">
        <v>222</v>
      </c>
      <c r="N18" s="10" t="s">
        <v>223</v>
      </c>
    </row>
    <row r="19" spans="1:14" ht="140.25" x14ac:dyDescent="0.25">
      <c r="A19" s="10" t="s">
        <v>179</v>
      </c>
      <c r="B19" s="11" t="s">
        <v>224</v>
      </c>
      <c r="C19" s="10" t="s">
        <v>225</v>
      </c>
      <c r="D19" s="10" t="s">
        <v>226</v>
      </c>
      <c r="E19" s="10" t="s">
        <v>227</v>
      </c>
      <c r="F19" s="10" t="s">
        <v>228</v>
      </c>
      <c r="G19" s="10" t="s">
        <v>229</v>
      </c>
      <c r="H19" s="10" t="s">
        <v>230</v>
      </c>
      <c r="I19" s="10" t="s">
        <v>231</v>
      </c>
      <c r="J19" s="10" t="s">
        <v>232</v>
      </c>
      <c r="K19" s="10" t="s">
        <v>43</v>
      </c>
      <c r="L19" s="12"/>
      <c r="M19" s="10" t="s">
        <v>233</v>
      </c>
      <c r="N19" s="10" t="s">
        <v>234</v>
      </c>
    </row>
    <row r="20" spans="1:14" ht="127.5" x14ac:dyDescent="0.25">
      <c r="A20" s="10" t="s">
        <v>179</v>
      </c>
      <c r="B20" s="11" t="s">
        <v>235</v>
      </c>
      <c r="C20" s="10" t="s">
        <v>236</v>
      </c>
      <c r="D20" s="10" t="s">
        <v>237</v>
      </c>
      <c r="E20" s="10" t="s">
        <v>238</v>
      </c>
      <c r="F20" s="10" t="s">
        <v>239</v>
      </c>
      <c r="G20" s="10" t="s">
        <v>240</v>
      </c>
      <c r="H20" s="10" t="s">
        <v>241</v>
      </c>
      <c r="I20" s="10" t="s">
        <v>242</v>
      </c>
      <c r="J20" s="10" t="s">
        <v>243</v>
      </c>
      <c r="K20" s="10" t="s">
        <v>43</v>
      </c>
      <c r="L20" s="12"/>
      <c r="M20" s="10" t="s">
        <v>244</v>
      </c>
      <c r="N20" s="10" t="s">
        <v>245</v>
      </c>
    </row>
    <row r="21" spans="1:14" ht="114.75" x14ac:dyDescent="0.25">
      <c r="A21" s="10" t="s">
        <v>179</v>
      </c>
      <c r="B21" s="11" t="s">
        <v>246</v>
      </c>
      <c r="C21" s="10" t="s">
        <v>247</v>
      </c>
      <c r="D21" s="10" t="s">
        <v>248</v>
      </c>
      <c r="E21" s="10" t="s">
        <v>249</v>
      </c>
      <c r="F21" s="10" t="s">
        <v>250</v>
      </c>
      <c r="G21" s="10" t="s">
        <v>251</v>
      </c>
      <c r="H21" s="10" t="s">
        <v>252</v>
      </c>
      <c r="I21" s="10" t="s">
        <v>253</v>
      </c>
      <c r="J21" s="10" t="s">
        <v>254</v>
      </c>
      <c r="K21" s="10" t="s">
        <v>43</v>
      </c>
      <c r="L21" s="12"/>
      <c r="M21" s="10" t="s">
        <v>255</v>
      </c>
      <c r="N21" s="10" t="s">
        <v>256</v>
      </c>
    </row>
    <row r="22" spans="1:14" ht="127.5" x14ac:dyDescent="0.25">
      <c r="A22" s="10" t="s">
        <v>179</v>
      </c>
      <c r="B22" s="11" t="s">
        <v>257</v>
      </c>
      <c r="C22" s="10" t="s">
        <v>258</v>
      </c>
      <c r="D22" s="10" t="s">
        <v>259</v>
      </c>
      <c r="E22" s="10" t="s">
        <v>260</v>
      </c>
      <c r="F22" s="10" t="s">
        <v>261</v>
      </c>
      <c r="G22" s="10" t="s">
        <v>262</v>
      </c>
      <c r="H22" s="10" t="s">
        <v>263</v>
      </c>
      <c r="I22" s="10" t="s">
        <v>253</v>
      </c>
      <c r="J22" s="10" t="s">
        <v>264</v>
      </c>
      <c r="K22" s="10" t="s">
        <v>43</v>
      </c>
      <c r="L22" s="12"/>
      <c r="M22" s="10" t="s">
        <v>265</v>
      </c>
      <c r="N22" s="10" t="s">
        <v>266</v>
      </c>
    </row>
    <row r="23" spans="1:14" ht="165.75" x14ac:dyDescent="0.25">
      <c r="A23" s="10" t="s">
        <v>179</v>
      </c>
      <c r="B23" s="11" t="s">
        <v>267</v>
      </c>
      <c r="C23" s="10" t="s">
        <v>268</v>
      </c>
      <c r="D23" s="10" t="s">
        <v>269</v>
      </c>
      <c r="E23" s="10" t="s">
        <v>270</v>
      </c>
      <c r="F23" s="10" t="s">
        <v>271</v>
      </c>
      <c r="G23" s="10" t="s">
        <v>272</v>
      </c>
      <c r="H23" s="10" t="s">
        <v>273</v>
      </c>
      <c r="I23" s="10" t="s">
        <v>274</v>
      </c>
      <c r="J23" s="10" t="s">
        <v>275</v>
      </c>
      <c r="K23" s="10" t="s">
        <v>43</v>
      </c>
      <c r="L23" s="12"/>
      <c r="M23" s="10" t="s">
        <v>276</v>
      </c>
      <c r="N23" s="10" t="s">
        <v>277</v>
      </c>
    </row>
    <row r="24" spans="1:14" ht="114.75" x14ac:dyDescent="0.25">
      <c r="A24" s="10" t="s">
        <v>179</v>
      </c>
      <c r="B24" s="11" t="s">
        <v>278</v>
      </c>
      <c r="C24" s="10" t="s">
        <v>279</v>
      </c>
      <c r="D24" s="10" t="s">
        <v>280</v>
      </c>
      <c r="E24" s="10" t="s">
        <v>281</v>
      </c>
      <c r="F24" s="10" t="s">
        <v>282</v>
      </c>
      <c r="G24" s="10" t="s">
        <v>283</v>
      </c>
      <c r="H24" s="10" t="s">
        <v>284</v>
      </c>
      <c r="I24" s="10" t="s">
        <v>285</v>
      </c>
      <c r="J24" s="10" t="s">
        <v>286</v>
      </c>
      <c r="K24" s="10" t="s">
        <v>43</v>
      </c>
      <c r="L24" s="12"/>
      <c r="M24" s="10" t="s">
        <v>287</v>
      </c>
      <c r="N24" s="10" t="s">
        <v>288</v>
      </c>
    </row>
    <row r="25" spans="1:14" ht="102" x14ac:dyDescent="0.25">
      <c r="A25" s="10" t="s">
        <v>179</v>
      </c>
      <c r="B25" s="11" t="s">
        <v>289</v>
      </c>
      <c r="C25" s="10" t="s">
        <v>290</v>
      </c>
      <c r="D25" s="10" t="s">
        <v>291</v>
      </c>
      <c r="E25" s="10" t="s">
        <v>292</v>
      </c>
      <c r="F25" s="10" t="s">
        <v>293</v>
      </c>
      <c r="G25" s="10" t="s">
        <v>294</v>
      </c>
      <c r="H25" s="10" t="s">
        <v>295</v>
      </c>
      <c r="I25" s="10" t="s">
        <v>296</v>
      </c>
      <c r="J25" s="10" t="s">
        <v>297</v>
      </c>
      <c r="K25" s="10" t="s">
        <v>43</v>
      </c>
      <c r="L25" s="12"/>
      <c r="M25" s="10" t="s">
        <v>298</v>
      </c>
      <c r="N25" s="10" t="s">
        <v>299</v>
      </c>
    </row>
    <row r="26" spans="1:14" ht="153" x14ac:dyDescent="0.25">
      <c r="A26" s="10" t="s">
        <v>179</v>
      </c>
      <c r="B26" s="11" t="s">
        <v>300</v>
      </c>
      <c r="C26" s="10" t="s">
        <v>301</v>
      </c>
      <c r="D26" s="10" t="s">
        <v>302</v>
      </c>
      <c r="E26" s="10" t="s">
        <v>303</v>
      </c>
      <c r="F26" s="10" t="s">
        <v>304</v>
      </c>
      <c r="G26" s="10" t="s">
        <v>305</v>
      </c>
      <c r="H26" s="10" t="s">
        <v>306</v>
      </c>
      <c r="I26" s="10" t="s">
        <v>307</v>
      </c>
      <c r="J26" s="10" t="s">
        <v>308</v>
      </c>
      <c r="K26" s="10" t="s">
        <v>43</v>
      </c>
      <c r="L26" s="12"/>
      <c r="M26" s="10" t="s">
        <v>309</v>
      </c>
      <c r="N26" s="10" t="s">
        <v>310</v>
      </c>
    </row>
    <row r="27" spans="1:14" ht="140.25" x14ac:dyDescent="0.25">
      <c r="A27" s="10" t="s">
        <v>179</v>
      </c>
      <c r="B27" s="11" t="s">
        <v>311</v>
      </c>
      <c r="C27" s="10" t="s">
        <v>312</v>
      </c>
      <c r="D27" s="10" t="s">
        <v>313</v>
      </c>
      <c r="E27" s="10" t="s">
        <v>314</v>
      </c>
      <c r="F27" s="10" t="s">
        <v>315</v>
      </c>
      <c r="G27" s="10" t="s">
        <v>316</v>
      </c>
      <c r="H27" s="10" t="s">
        <v>317</v>
      </c>
      <c r="I27" s="10" t="s">
        <v>318</v>
      </c>
      <c r="J27" s="10" t="s">
        <v>319</v>
      </c>
      <c r="K27" s="10" t="s">
        <v>43</v>
      </c>
      <c r="L27" s="12"/>
      <c r="M27" s="10" t="s">
        <v>320</v>
      </c>
      <c r="N27" s="10" t="s">
        <v>321</v>
      </c>
    </row>
    <row r="28" spans="1:14" ht="127.5" x14ac:dyDescent="0.25">
      <c r="A28" s="10" t="s">
        <v>179</v>
      </c>
      <c r="B28" s="11" t="s">
        <v>322</v>
      </c>
      <c r="C28" s="10" t="s">
        <v>323</v>
      </c>
      <c r="D28" s="10" t="s">
        <v>324</v>
      </c>
      <c r="E28" s="10" t="s">
        <v>325</v>
      </c>
      <c r="F28" s="10" t="s">
        <v>326</v>
      </c>
      <c r="G28" s="10" t="s">
        <v>327</v>
      </c>
      <c r="H28" s="10" t="s">
        <v>328</v>
      </c>
      <c r="I28" s="10" t="s">
        <v>329</v>
      </c>
      <c r="J28" s="10" t="s">
        <v>330</v>
      </c>
      <c r="K28" s="10" t="s">
        <v>43</v>
      </c>
      <c r="L28" s="12"/>
      <c r="M28" s="10" t="s">
        <v>331</v>
      </c>
      <c r="N28" s="10" t="s">
        <v>332</v>
      </c>
    </row>
    <row r="29" spans="1:14" ht="127.5" x14ac:dyDescent="0.25">
      <c r="A29" s="10" t="s">
        <v>179</v>
      </c>
      <c r="B29" s="11" t="s">
        <v>333</v>
      </c>
      <c r="C29" s="10" t="s">
        <v>334</v>
      </c>
      <c r="D29" s="10" t="s">
        <v>335</v>
      </c>
      <c r="E29" s="10" t="s">
        <v>336</v>
      </c>
      <c r="F29" s="10" t="s">
        <v>337</v>
      </c>
      <c r="G29" s="10" t="s">
        <v>338</v>
      </c>
      <c r="H29" s="10" t="s">
        <v>339</v>
      </c>
      <c r="I29" s="10" t="s">
        <v>340</v>
      </c>
      <c r="J29" s="10" t="s">
        <v>341</v>
      </c>
      <c r="K29" s="10" t="s">
        <v>43</v>
      </c>
      <c r="L29" s="12"/>
      <c r="M29" s="10" t="s">
        <v>342</v>
      </c>
      <c r="N29" s="10" t="s">
        <v>343</v>
      </c>
    </row>
    <row r="30" spans="1:14" ht="204" x14ac:dyDescent="0.25">
      <c r="A30" s="10" t="s">
        <v>179</v>
      </c>
      <c r="B30" s="11" t="s">
        <v>344</v>
      </c>
      <c r="C30" s="10" t="s">
        <v>345</v>
      </c>
      <c r="D30" s="10" t="s">
        <v>346</v>
      </c>
      <c r="E30" s="10" t="s">
        <v>347</v>
      </c>
      <c r="F30" s="10" t="s">
        <v>348</v>
      </c>
      <c r="G30" s="10" t="s">
        <v>349</v>
      </c>
      <c r="H30" s="10" t="s">
        <v>350</v>
      </c>
      <c r="I30" s="10" t="s">
        <v>351</v>
      </c>
      <c r="J30" s="10" t="s">
        <v>352</v>
      </c>
      <c r="K30" s="10" t="s">
        <v>353</v>
      </c>
      <c r="L30" s="12"/>
      <c r="M30" s="10" t="s">
        <v>354</v>
      </c>
      <c r="N30" s="10" t="s">
        <v>355</v>
      </c>
    </row>
    <row r="31" spans="1:14" ht="114.75" x14ac:dyDescent="0.25">
      <c r="A31" s="10" t="s">
        <v>356</v>
      </c>
      <c r="B31" s="11" t="s">
        <v>357</v>
      </c>
      <c r="C31" s="10" t="s">
        <v>358</v>
      </c>
      <c r="D31" s="10" t="s">
        <v>359</v>
      </c>
      <c r="E31" s="10" t="s">
        <v>360</v>
      </c>
      <c r="F31" s="10" t="s">
        <v>361</v>
      </c>
      <c r="G31" s="10" t="s">
        <v>362</v>
      </c>
      <c r="H31" s="10" t="s">
        <v>363</v>
      </c>
      <c r="I31" s="10" t="s">
        <v>364</v>
      </c>
      <c r="J31" s="10" t="s">
        <v>365</v>
      </c>
      <c r="K31" s="10" t="s">
        <v>43</v>
      </c>
      <c r="L31" s="12"/>
      <c r="M31" s="10" t="s">
        <v>366</v>
      </c>
      <c r="N31" s="10" t="s">
        <v>367</v>
      </c>
    </row>
    <row r="32" spans="1:14" ht="114.75" x14ac:dyDescent="0.25">
      <c r="A32" s="10" t="s">
        <v>356</v>
      </c>
      <c r="B32" s="11" t="s">
        <v>368</v>
      </c>
      <c r="C32" s="10" t="s">
        <v>369</v>
      </c>
      <c r="D32" s="10" t="s">
        <v>370</v>
      </c>
      <c r="E32" s="10" t="s">
        <v>371</v>
      </c>
      <c r="F32" s="10" t="s">
        <v>372</v>
      </c>
      <c r="G32" s="10" t="s">
        <v>373</v>
      </c>
      <c r="H32" s="10" t="s">
        <v>374</v>
      </c>
      <c r="I32" s="10" t="s">
        <v>375</v>
      </c>
      <c r="J32" s="10" t="s">
        <v>376</v>
      </c>
      <c r="K32" s="10" t="s">
        <v>43</v>
      </c>
      <c r="L32" s="12"/>
      <c r="M32" s="10" t="s">
        <v>377</v>
      </c>
      <c r="N32" s="10" t="s">
        <v>378</v>
      </c>
    </row>
    <row r="33" spans="1:14" ht="140.25" x14ac:dyDescent="0.25">
      <c r="A33" s="10" t="s">
        <v>356</v>
      </c>
      <c r="B33" s="11" t="s">
        <v>379</v>
      </c>
      <c r="C33" s="10" t="s">
        <v>380</v>
      </c>
      <c r="D33" s="10" t="s">
        <v>381</v>
      </c>
      <c r="E33" s="10" t="s">
        <v>382</v>
      </c>
      <c r="F33" s="10" t="s">
        <v>383</v>
      </c>
      <c r="G33" s="10" t="s">
        <v>384</v>
      </c>
      <c r="H33" s="10" t="s">
        <v>385</v>
      </c>
      <c r="I33" s="10" t="s">
        <v>386</v>
      </c>
      <c r="J33" s="10" t="s">
        <v>387</v>
      </c>
      <c r="K33" s="10" t="s">
        <v>43</v>
      </c>
      <c r="L33" s="12"/>
      <c r="M33" s="10" t="s">
        <v>388</v>
      </c>
      <c r="N33" s="10" t="s">
        <v>389</v>
      </c>
    </row>
    <row r="34" spans="1:14" ht="102" x14ac:dyDescent="0.25">
      <c r="A34" s="10" t="s">
        <v>356</v>
      </c>
      <c r="B34" s="11" t="s">
        <v>390</v>
      </c>
      <c r="C34" s="10" t="s">
        <v>391</v>
      </c>
      <c r="D34" s="10" t="s">
        <v>392</v>
      </c>
      <c r="E34" s="10" t="s">
        <v>393</v>
      </c>
      <c r="F34" s="10" t="s">
        <v>394</v>
      </c>
      <c r="G34" s="10" t="s">
        <v>395</v>
      </c>
      <c r="H34" s="10" t="s">
        <v>396</v>
      </c>
      <c r="I34" s="10" t="s">
        <v>397</v>
      </c>
      <c r="J34" s="10" t="s">
        <v>398</v>
      </c>
      <c r="K34" s="10" t="s">
        <v>43</v>
      </c>
      <c r="L34" s="12"/>
      <c r="M34" s="10" t="s">
        <v>399</v>
      </c>
      <c r="N34" s="10" t="s">
        <v>400</v>
      </c>
    </row>
    <row r="35" spans="1:14" ht="114.75" x14ac:dyDescent="0.25">
      <c r="A35" s="10" t="s">
        <v>356</v>
      </c>
      <c r="B35" s="11" t="s">
        <v>401</v>
      </c>
      <c r="C35" s="10" t="s">
        <v>402</v>
      </c>
      <c r="D35" s="10" t="s">
        <v>403</v>
      </c>
      <c r="E35" s="10" t="s">
        <v>404</v>
      </c>
      <c r="F35" s="10" t="s">
        <v>405</v>
      </c>
      <c r="G35" s="10" t="s">
        <v>406</v>
      </c>
      <c r="H35" s="10" t="s">
        <v>407</v>
      </c>
      <c r="I35" s="10" t="s">
        <v>408</v>
      </c>
      <c r="J35" s="10" t="s">
        <v>409</v>
      </c>
      <c r="K35" s="10" t="s">
        <v>43</v>
      </c>
      <c r="L35" s="12"/>
      <c r="M35" s="10" t="s">
        <v>410</v>
      </c>
      <c r="N35" s="10" t="s">
        <v>411</v>
      </c>
    </row>
    <row r="36" spans="1:14" ht="165.75" x14ac:dyDescent="0.25">
      <c r="A36" s="10" t="s">
        <v>356</v>
      </c>
      <c r="B36" s="11" t="s">
        <v>412</v>
      </c>
      <c r="C36" s="10" t="s">
        <v>413</v>
      </c>
      <c r="D36" s="10" t="s">
        <v>414</v>
      </c>
      <c r="E36" s="10" t="s">
        <v>415</v>
      </c>
      <c r="F36" s="10" t="s">
        <v>416</v>
      </c>
      <c r="G36" s="10" t="s">
        <v>417</v>
      </c>
      <c r="H36" s="10" t="s">
        <v>418</v>
      </c>
      <c r="I36" s="10" t="s">
        <v>419</v>
      </c>
      <c r="J36" s="10" t="s">
        <v>420</v>
      </c>
      <c r="K36" s="10" t="s">
        <v>43</v>
      </c>
      <c r="L36" s="12"/>
      <c r="M36" s="10" t="s">
        <v>421</v>
      </c>
      <c r="N36" s="10" t="s">
        <v>422</v>
      </c>
    </row>
    <row r="37" spans="1:14" ht="216.75" x14ac:dyDescent="0.25">
      <c r="A37" s="10" t="s">
        <v>356</v>
      </c>
      <c r="B37" s="11" t="s">
        <v>423</v>
      </c>
      <c r="C37" s="10" t="s">
        <v>424</v>
      </c>
      <c r="D37" s="10" t="s">
        <v>425</v>
      </c>
      <c r="E37" s="10" t="s">
        <v>426</v>
      </c>
      <c r="F37" s="10" t="s">
        <v>427</v>
      </c>
      <c r="G37" s="10" t="s">
        <v>428</v>
      </c>
      <c r="H37" s="10" t="s">
        <v>429</v>
      </c>
      <c r="I37" s="10" t="s">
        <v>430</v>
      </c>
      <c r="J37" s="10" t="s">
        <v>431</v>
      </c>
      <c r="K37" s="10" t="s">
        <v>43</v>
      </c>
      <c r="L37" s="12"/>
      <c r="M37" s="10" t="s">
        <v>432</v>
      </c>
      <c r="N37" s="10" t="s">
        <v>433</v>
      </c>
    </row>
    <row r="38" spans="1:14" ht="102" x14ac:dyDescent="0.25">
      <c r="A38" s="10" t="s">
        <v>356</v>
      </c>
      <c r="B38" s="11" t="s">
        <v>434</v>
      </c>
      <c r="C38" s="10" t="s">
        <v>435</v>
      </c>
      <c r="D38" s="10" t="s">
        <v>436</v>
      </c>
      <c r="E38" s="10" t="s">
        <v>437</v>
      </c>
      <c r="F38" s="10" t="s">
        <v>438</v>
      </c>
      <c r="G38" s="10" t="s">
        <v>439</v>
      </c>
      <c r="H38" s="10" t="s">
        <v>440</v>
      </c>
      <c r="I38" s="10" t="s">
        <v>441</v>
      </c>
      <c r="J38" s="10" t="s">
        <v>442</v>
      </c>
      <c r="K38" s="10" t="s">
        <v>43</v>
      </c>
      <c r="L38" s="12"/>
      <c r="M38" s="10" t="s">
        <v>443</v>
      </c>
      <c r="N38" s="10" t="s">
        <v>444</v>
      </c>
    </row>
    <row r="39" spans="1:14" ht="114.75" x14ac:dyDescent="0.25">
      <c r="A39" s="10" t="s">
        <v>356</v>
      </c>
      <c r="B39" s="11" t="s">
        <v>445</v>
      </c>
      <c r="C39" s="10" t="s">
        <v>446</v>
      </c>
      <c r="D39" s="10" t="s">
        <v>447</v>
      </c>
      <c r="E39" s="10" t="s">
        <v>448</v>
      </c>
      <c r="F39" s="10" t="s">
        <v>449</v>
      </c>
      <c r="G39" s="10" t="s">
        <v>450</v>
      </c>
      <c r="H39" s="10" t="s">
        <v>451</v>
      </c>
      <c r="I39" s="10" t="s">
        <v>452</v>
      </c>
      <c r="J39" s="10" t="s">
        <v>453</v>
      </c>
      <c r="K39" s="10" t="s">
        <v>43</v>
      </c>
      <c r="L39" s="12"/>
      <c r="M39" s="10" t="s">
        <v>454</v>
      </c>
      <c r="N39" s="10" t="s">
        <v>455</v>
      </c>
    </row>
    <row r="40" spans="1:14" ht="242.25" x14ac:dyDescent="0.25">
      <c r="A40" s="10" t="s">
        <v>356</v>
      </c>
      <c r="B40" s="11" t="s">
        <v>456</v>
      </c>
      <c r="C40" s="10" t="s">
        <v>457</v>
      </c>
      <c r="D40" s="10" t="s">
        <v>458</v>
      </c>
      <c r="E40" s="10" t="s">
        <v>459</v>
      </c>
      <c r="F40" s="10" t="s">
        <v>460</v>
      </c>
      <c r="G40" s="10" t="s">
        <v>461</v>
      </c>
      <c r="H40" s="10" t="s">
        <v>462</v>
      </c>
      <c r="I40" s="10" t="s">
        <v>463</v>
      </c>
      <c r="J40" s="10" t="s">
        <v>464</v>
      </c>
      <c r="K40" s="10" t="s">
        <v>43</v>
      </c>
      <c r="L40" s="12"/>
      <c r="M40" s="10" t="s">
        <v>465</v>
      </c>
      <c r="N40" s="10" t="s">
        <v>466</v>
      </c>
    </row>
    <row r="41" spans="1:14" ht="102" x14ac:dyDescent="0.25">
      <c r="A41" s="10" t="s">
        <v>356</v>
      </c>
      <c r="B41" s="11" t="s">
        <v>467</v>
      </c>
      <c r="C41" s="10" t="s">
        <v>468</v>
      </c>
      <c r="D41" s="10" t="s">
        <v>469</v>
      </c>
      <c r="E41" s="10" t="s">
        <v>470</v>
      </c>
      <c r="F41" s="10" t="s">
        <v>471</v>
      </c>
      <c r="G41" s="10" t="s">
        <v>472</v>
      </c>
      <c r="H41" s="10" t="s">
        <v>473</v>
      </c>
      <c r="I41" s="10" t="s">
        <v>474</v>
      </c>
      <c r="J41" s="10" t="s">
        <v>475</v>
      </c>
      <c r="K41" s="10" t="s">
        <v>43</v>
      </c>
      <c r="L41" s="12"/>
      <c r="M41" s="10" t="s">
        <v>476</v>
      </c>
      <c r="N41" s="10" t="s">
        <v>477</v>
      </c>
    </row>
    <row r="42" spans="1:14" ht="127.5" x14ac:dyDescent="0.25">
      <c r="A42" s="10" t="s">
        <v>356</v>
      </c>
      <c r="B42" s="11" t="s">
        <v>478</v>
      </c>
      <c r="C42" s="10" t="s">
        <v>479</v>
      </c>
      <c r="D42" s="10" t="s">
        <v>480</v>
      </c>
      <c r="E42" s="10" t="s">
        <v>481</v>
      </c>
      <c r="F42" s="10" t="s">
        <v>482</v>
      </c>
      <c r="G42" s="10" t="s">
        <v>483</v>
      </c>
      <c r="H42" s="10" t="s">
        <v>484</v>
      </c>
      <c r="I42" s="10" t="s">
        <v>485</v>
      </c>
      <c r="J42" s="10" t="s">
        <v>486</v>
      </c>
      <c r="K42" s="10" t="s">
        <v>43</v>
      </c>
      <c r="L42" s="12"/>
      <c r="M42" s="10" t="s">
        <v>487</v>
      </c>
      <c r="N42" s="10" t="s">
        <v>488</v>
      </c>
    </row>
    <row r="43" spans="1:14" ht="255" x14ac:dyDescent="0.25">
      <c r="A43" s="10" t="s">
        <v>489</v>
      </c>
      <c r="B43" s="11" t="s">
        <v>490</v>
      </c>
      <c r="C43" s="10" t="s">
        <v>491</v>
      </c>
      <c r="D43" s="10" t="s">
        <v>492</v>
      </c>
      <c r="E43" s="10" t="s">
        <v>493</v>
      </c>
      <c r="F43" s="10" t="s">
        <v>494</v>
      </c>
      <c r="G43" s="10" t="s">
        <v>495</v>
      </c>
      <c r="H43" s="10" t="s">
        <v>496</v>
      </c>
      <c r="I43" s="10" t="s">
        <v>497</v>
      </c>
      <c r="J43" s="10" t="s">
        <v>498</v>
      </c>
      <c r="K43" s="10" t="s">
        <v>43</v>
      </c>
      <c r="L43" s="12"/>
      <c r="M43" s="10" t="s">
        <v>499</v>
      </c>
      <c r="N43" s="10" t="s">
        <v>500</v>
      </c>
    </row>
    <row r="44" spans="1:14" ht="216.75" x14ac:dyDescent="0.25">
      <c r="A44" s="10" t="s">
        <v>489</v>
      </c>
      <c r="B44" s="11" t="s">
        <v>501</v>
      </c>
      <c r="C44" s="10" t="s">
        <v>502</v>
      </c>
      <c r="D44" s="10" t="s">
        <v>503</v>
      </c>
      <c r="E44" s="10" t="s">
        <v>504</v>
      </c>
      <c r="F44" s="10" t="s">
        <v>505</v>
      </c>
      <c r="G44" s="10" t="s">
        <v>506</v>
      </c>
      <c r="H44" s="10" t="s">
        <v>507</v>
      </c>
      <c r="I44" s="10" t="s">
        <v>508</v>
      </c>
      <c r="J44" s="10" t="s">
        <v>509</v>
      </c>
      <c r="K44" s="10" t="s">
        <v>43</v>
      </c>
      <c r="L44" s="12"/>
      <c r="M44" s="10" t="s">
        <v>510</v>
      </c>
      <c r="N44" s="10" t="s">
        <v>511</v>
      </c>
    </row>
    <row r="45" spans="1:14" ht="140.25" x14ac:dyDescent="0.25">
      <c r="A45" s="10" t="s">
        <v>489</v>
      </c>
      <c r="B45" s="11" t="s">
        <v>512</v>
      </c>
      <c r="C45" s="10" t="s">
        <v>513</v>
      </c>
      <c r="D45" s="10" t="s">
        <v>514</v>
      </c>
      <c r="E45" s="10" t="s">
        <v>515</v>
      </c>
      <c r="F45" s="10" t="s">
        <v>516</v>
      </c>
      <c r="G45" s="10" t="s">
        <v>517</v>
      </c>
      <c r="H45" s="10" t="s">
        <v>518</v>
      </c>
      <c r="I45" s="10" t="s">
        <v>519</v>
      </c>
      <c r="J45" s="10" t="s">
        <v>520</v>
      </c>
      <c r="K45" s="10" t="s">
        <v>43</v>
      </c>
      <c r="L45" s="12"/>
      <c r="M45" s="10" t="s">
        <v>521</v>
      </c>
      <c r="N45" s="10" t="s">
        <v>522</v>
      </c>
    </row>
    <row r="46" spans="1:14" ht="153" x14ac:dyDescent="0.25">
      <c r="A46" s="10" t="s">
        <v>489</v>
      </c>
      <c r="B46" s="11" t="s">
        <v>523</v>
      </c>
      <c r="C46" s="10" t="s">
        <v>524</v>
      </c>
      <c r="D46" s="10" t="s">
        <v>525</v>
      </c>
      <c r="E46" s="10" t="s">
        <v>526</v>
      </c>
      <c r="F46" s="10" t="s">
        <v>527</v>
      </c>
      <c r="G46" s="10" t="s">
        <v>528</v>
      </c>
      <c r="H46" s="10" t="s">
        <v>529</v>
      </c>
      <c r="I46" s="10" t="s">
        <v>530</v>
      </c>
      <c r="J46" s="10" t="s">
        <v>531</v>
      </c>
      <c r="K46" s="10" t="s">
        <v>43</v>
      </c>
      <c r="L46" s="12"/>
      <c r="M46" s="10" t="s">
        <v>532</v>
      </c>
      <c r="N46" s="10" t="s">
        <v>533</v>
      </c>
    </row>
    <row r="47" spans="1:14" ht="153" x14ac:dyDescent="0.25">
      <c r="A47" s="10" t="s">
        <v>489</v>
      </c>
      <c r="B47" s="11" t="s">
        <v>534</v>
      </c>
      <c r="C47" s="10" t="s">
        <v>535</v>
      </c>
      <c r="D47" s="10" t="s">
        <v>536</v>
      </c>
      <c r="E47" s="10" t="s">
        <v>537</v>
      </c>
      <c r="F47" s="10" t="s">
        <v>538</v>
      </c>
      <c r="G47" s="10" t="s">
        <v>539</v>
      </c>
      <c r="H47" s="10" t="s">
        <v>540</v>
      </c>
      <c r="I47" s="10" t="s">
        <v>541</v>
      </c>
      <c r="J47" s="10" t="s">
        <v>542</v>
      </c>
      <c r="K47" s="10" t="s">
        <v>43</v>
      </c>
      <c r="L47" s="12"/>
      <c r="M47" s="10" t="s">
        <v>543</v>
      </c>
      <c r="N47" s="10" t="s">
        <v>544</v>
      </c>
    </row>
    <row r="48" spans="1:14" ht="153" x14ac:dyDescent="0.25">
      <c r="A48" s="10" t="s">
        <v>489</v>
      </c>
      <c r="B48" s="11" t="s">
        <v>545</v>
      </c>
      <c r="C48" s="10" t="s">
        <v>546</v>
      </c>
      <c r="D48" s="10" t="s">
        <v>547</v>
      </c>
      <c r="E48" s="10" t="s">
        <v>548</v>
      </c>
      <c r="F48" s="10" t="s">
        <v>549</v>
      </c>
      <c r="G48" s="10" t="s">
        <v>550</v>
      </c>
      <c r="H48" s="10" t="s">
        <v>551</v>
      </c>
      <c r="I48" s="10" t="s">
        <v>552</v>
      </c>
      <c r="J48" s="10" t="s">
        <v>553</v>
      </c>
      <c r="K48" s="10" t="s">
        <v>43</v>
      </c>
      <c r="L48" s="12"/>
      <c r="M48" s="10" t="s">
        <v>554</v>
      </c>
      <c r="N48" s="10" t="s">
        <v>555</v>
      </c>
    </row>
    <row r="49" spans="1:14" ht="127.5" x14ac:dyDescent="0.25">
      <c r="A49" s="10" t="s">
        <v>489</v>
      </c>
      <c r="B49" s="11" t="s">
        <v>556</v>
      </c>
      <c r="C49" s="10" t="s">
        <v>557</v>
      </c>
      <c r="D49" s="10" t="s">
        <v>558</v>
      </c>
      <c r="E49" s="10" t="s">
        <v>559</v>
      </c>
      <c r="F49" s="10" t="s">
        <v>560</v>
      </c>
      <c r="G49" s="10" t="s">
        <v>561</v>
      </c>
      <c r="H49" s="10" t="s">
        <v>562</v>
      </c>
      <c r="I49" s="10" t="s">
        <v>563</v>
      </c>
      <c r="J49" s="10" t="s">
        <v>564</v>
      </c>
      <c r="K49" s="10" t="s">
        <v>43</v>
      </c>
      <c r="L49" s="12"/>
      <c r="M49" s="10" t="s">
        <v>565</v>
      </c>
      <c r="N49" s="10" t="s">
        <v>566</v>
      </c>
    </row>
    <row r="50" spans="1:14" ht="140.25" x14ac:dyDescent="0.25">
      <c r="A50" s="10" t="s">
        <v>489</v>
      </c>
      <c r="B50" s="11" t="s">
        <v>567</v>
      </c>
      <c r="C50" s="10" t="s">
        <v>568</v>
      </c>
      <c r="D50" s="10" t="s">
        <v>569</v>
      </c>
      <c r="E50" s="10" t="s">
        <v>570</v>
      </c>
      <c r="F50" s="10" t="s">
        <v>571</v>
      </c>
      <c r="G50" s="10" t="s">
        <v>572</v>
      </c>
      <c r="H50" s="10" t="s">
        <v>573</v>
      </c>
      <c r="I50" s="10" t="s">
        <v>574</v>
      </c>
      <c r="J50" s="10" t="s">
        <v>575</v>
      </c>
      <c r="K50" s="10" t="s">
        <v>43</v>
      </c>
      <c r="L50" s="12"/>
      <c r="M50" s="10" t="s">
        <v>576</v>
      </c>
      <c r="N50" s="10" t="s">
        <v>577</v>
      </c>
    </row>
    <row r="51" spans="1:14" ht="127.5" x14ac:dyDescent="0.25">
      <c r="A51" s="10" t="s">
        <v>489</v>
      </c>
      <c r="B51" s="11" t="s">
        <v>578</v>
      </c>
      <c r="C51" s="10" t="s">
        <v>579</v>
      </c>
      <c r="D51" s="10" t="s">
        <v>580</v>
      </c>
      <c r="E51" s="10" t="s">
        <v>581</v>
      </c>
      <c r="F51" s="10" t="s">
        <v>582</v>
      </c>
      <c r="G51" s="10" t="s">
        <v>583</v>
      </c>
      <c r="H51" s="10" t="s">
        <v>584</v>
      </c>
      <c r="I51" s="10" t="s">
        <v>585</v>
      </c>
      <c r="J51" s="10" t="s">
        <v>586</v>
      </c>
      <c r="K51" s="10" t="s">
        <v>43</v>
      </c>
      <c r="L51" s="12"/>
      <c r="M51" s="10" t="s">
        <v>587</v>
      </c>
      <c r="N51" s="10" t="s">
        <v>588</v>
      </c>
    </row>
    <row r="52" spans="1:14" ht="178.5" x14ac:dyDescent="0.25">
      <c r="A52" s="10" t="s">
        <v>589</v>
      </c>
      <c r="B52" s="11" t="s">
        <v>590</v>
      </c>
      <c r="C52" s="10" t="s">
        <v>591</v>
      </c>
      <c r="D52" s="10" t="s">
        <v>592</v>
      </c>
      <c r="E52" s="10" t="s">
        <v>593</v>
      </c>
      <c r="F52" s="10" t="s">
        <v>594</v>
      </c>
      <c r="G52" s="10" t="s">
        <v>595</v>
      </c>
      <c r="H52" s="10" t="s">
        <v>596</v>
      </c>
      <c r="I52" s="10" t="s">
        <v>597</v>
      </c>
      <c r="J52" s="10" t="s">
        <v>598</v>
      </c>
      <c r="K52" s="10" t="s">
        <v>43</v>
      </c>
      <c r="L52" s="12"/>
      <c r="M52" s="10" t="s">
        <v>599</v>
      </c>
      <c r="N52" s="10" t="s">
        <v>600</v>
      </c>
    </row>
    <row r="53" spans="1:14" ht="153" x14ac:dyDescent="0.25">
      <c r="A53" s="10" t="s">
        <v>589</v>
      </c>
      <c r="B53" s="11" t="s">
        <v>601</v>
      </c>
      <c r="C53" s="10" t="s">
        <v>602</v>
      </c>
      <c r="D53" s="10" t="s">
        <v>603</v>
      </c>
      <c r="E53" s="10" t="s">
        <v>604</v>
      </c>
      <c r="F53" s="10" t="s">
        <v>605</v>
      </c>
      <c r="G53" s="10" t="s">
        <v>606</v>
      </c>
      <c r="H53" s="10" t="s">
        <v>607</v>
      </c>
      <c r="I53" s="10" t="s">
        <v>608</v>
      </c>
      <c r="J53" s="10" t="s">
        <v>609</v>
      </c>
      <c r="K53" s="10" t="s">
        <v>43</v>
      </c>
      <c r="L53" s="12"/>
      <c r="M53" s="10" t="s">
        <v>610</v>
      </c>
      <c r="N53" s="10" t="s">
        <v>611</v>
      </c>
    </row>
    <row r="54" spans="1:14" ht="114.75" x14ac:dyDescent="0.25">
      <c r="A54" s="10" t="s">
        <v>589</v>
      </c>
      <c r="B54" s="11" t="s">
        <v>612</v>
      </c>
      <c r="C54" s="10" t="s">
        <v>613</v>
      </c>
      <c r="D54" s="10" t="s">
        <v>614</v>
      </c>
      <c r="E54" s="10" t="s">
        <v>615</v>
      </c>
      <c r="F54" s="10" t="s">
        <v>616</v>
      </c>
      <c r="G54" s="10" t="s">
        <v>617</v>
      </c>
      <c r="H54" s="10" t="s">
        <v>618</v>
      </c>
      <c r="I54" s="10" t="s">
        <v>619</v>
      </c>
      <c r="J54" s="10" t="s">
        <v>620</v>
      </c>
      <c r="K54" s="10" t="s">
        <v>43</v>
      </c>
      <c r="L54" s="12"/>
      <c r="M54" s="10" t="s">
        <v>621</v>
      </c>
      <c r="N54" s="10" t="s">
        <v>622</v>
      </c>
    </row>
    <row r="55" spans="1:14" ht="153" x14ac:dyDescent="0.25">
      <c r="A55" s="10" t="s">
        <v>589</v>
      </c>
      <c r="B55" s="11" t="s">
        <v>623</v>
      </c>
      <c r="C55" s="10" t="s">
        <v>624</v>
      </c>
      <c r="D55" s="10" t="s">
        <v>625</v>
      </c>
      <c r="E55" s="10" t="s">
        <v>626</v>
      </c>
      <c r="F55" s="10" t="s">
        <v>627</v>
      </c>
      <c r="G55" s="10" t="s">
        <v>628</v>
      </c>
      <c r="H55" s="10" t="s">
        <v>629</v>
      </c>
      <c r="I55" s="10" t="s">
        <v>630</v>
      </c>
      <c r="J55" s="10" t="s">
        <v>631</v>
      </c>
      <c r="K55" s="10" t="s">
        <v>43</v>
      </c>
      <c r="L55" s="12"/>
      <c r="M55" s="10" t="s">
        <v>632</v>
      </c>
      <c r="N55" s="10" t="s">
        <v>633</v>
      </c>
    </row>
    <row r="56" spans="1:14" ht="140.25" x14ac:dyDescent="0.25">
      <c r="A56" s="10" t="s">
        <v>589</v>
      </c>
      <c r="B56" s="11" t="s">
        <v>634</v>
      </c>
      <c r="C56" s="10" t="s">
        <v>635</v>
      </c>
      <c r="D56" s="10" t="s">
        <v>636</v>
      </c>
      <c r="E56" s="10" t="s">
        <v>637</v>
      </c>
      <c r="F56" s="10" t="s">
        <v>638</v>
      </c>
      <c r="G56" s="10" t="s">
        <v>639</v>
      </c>
      <c r="H56" s="10" t="s">
        <v>640</v>
      </c>
      <c r="I56" s="10" t="s">
        <v>641</v>
      </c>
      <c r="J56" s="10" t="s">
        <v>642</v>
      </c>
      <c r="K56" s="10" t="s">
        <v>43</v>
      </c>
      <c r="L56" s="12"/>
      <c r="M56" s="10" t="s">
        <v>643</v>
      </c>
      <c r="N56" s="10" t="s">
        <v>644</v>
      </c>
    </row>
    <row r="57" spans="1:14" ht="114.75" x14ac:dyDescent="0.25">
      <c r="A57" s="10" t="s">
        <v>589</v>
      </c>
      <c r="B57" s="11" t="s">
        <v>645</v>
      </c>
      <c r="C57" s="10" t="s">
        <v>646</v>
      </c>
      <c r="D57" s="10" t="s">
        <v>647</v>
      </c>
      <c r="E57" s="10" t="s">
        <v>648</v>
      </c>
      <c r="F57" s="10" t="s">
        <v>649</v>
      </c>
      <c r="G57" s="10" t="s">
        <v>650</v>
      </c>
      <c r="H57" s="10" t="s">
        <v>651</v>
      </c>
      <c r="I57" s="10" t="s">
        <v>652</v>
      </c>
      <c r="J57" s="10" t="s">
        <v>653</v>
      </c>
      <c r="K57" s="10" t="s">
        <v>43</v>
      </c>
      <c r="L57" s="12"/>
      <c r="M57" s="10" t="s">
        <v>654</v>
      </c>
      <c r="N57" s="10" t="s">
        <v>655</v>
      </c>
    </row>
    <row r="58" spans="1:14" ht="140.25" x14ac:dyDescent="0.25">
      <c r="A58" s="10" t="s">
        <v>589</v>
      </c>
      <c r="B58" s="11" t="s">
        <v>656</v>
      </c>
      <c r="C58" s="10" t="s">
        <v>657</v>
      </c>
      <c r="D58" s="10" t="s">
        <v>658</v>
      </c>
      <c r="E58" s="10" t="s">
        <v>659</v>
      </c>
      <c r="F58" s="10" t="s">
        <v>660</v>
      </c>
      <c r="G58" s="10" t="s">
        <v>661</v>
      </c>
      <c r="H58" s="10" t="s">
        <v>662</v>
      </c>
      <c r="I58" s="10" t="s">
        <v>663</v>
      </c>
      <c r="J58" s="10" t="s">
        <v>664</v>
      </c>
      <c r="K58" s="10" t="s">
        <v>43</v>
      </c>
      <c r="L58" s="12"/>
      <c r="M58" s="10" t="s">
        <v>665</v>
      </c>
      <c r="N58" s="10" t="s">
        <v>666</v>
      </c>
    </row>
    <row r="59" spans="1:14" ht="153" x14ac:dyDescent="0.25">
      <c r="A59" s="10" t="s">
        <v>589</v>
      </c>
      <c r="B59" s="11" t="s">
        <v>667</v>
      </c>
      <c r="C59" s="10" t="s">
        <v>668</v>
      </c>
      <c r="D59" s="10" t="s">
        <v>669</v>
      </c>
      <c r="E59" s="10" t="s">
        <v>670</v>
      </c>
      <c r="F59" s="10" t="s">
        <v>671</v>
      </c>
      <c r="G59" s="10" t="s">
        <v>672</v>
      </c>
      <c r="H59" s="10" t="s">
        <v>673</v>
      </c>
      <c r="I59" s="10" t="s">
        <v>674</v>
      </c>
      <c r="J59" s="10" t="s">
        <v>675</v>
      </c>
      <c r="K59" s="10" t="s">
        <v>676</v>
      </c>
      <c r="L59" s="12"/>
      <c r="M59" s="10" t="s">
        <v>677</v>
      </c>
      <c r="N59" s="10" t="s">
        <v>678</v>
      </c>
    </row>
    <row r="60" spans="1:14" ht="127.5" x14ac:dyDescent="0.25">
      <c r="A60" s="10" t="s">
        <v>589</v>
      </c>
      <c r="B60" s="11" t="s">
        <v>679</v>
      </c>
      <c r="C60" s="10" t="s">
        <v>680</v>
      </c>
      <c r="D60" s="10" t="s">
        <v>681</v>
      </c>
      <c r="E60" s="10" t="s">
        <v>682</v>
      </c>
      <c r="F60" s="10" t="s">
        <v>683</v>
      </c>
      <c r="G60" s="10" t="s">
        <v>684</v>
      </c>
      <c r="H60" s="10" t="s">
        <v>685</v>
      </c>
      <c r="I60" s="10" t="s">
        <v>686</v>
      </c>
      <c r="J60" s="10" t="s">
        <v>687</v>
      </c>
      <c r="K60" s="10" t="s">
        <v>43</v>
      </c>
      <c r="L60" s="12"/>
      <c r="M60" s="10" t="s">
        <v>688</v>
      </c>
      <c r="N60" s="10" t="s">
        <v>689</v>
      </c>
    </row>
    <row r="61" spans="1:14" ht="165.75" x14ac:dyDescent="0.25">
      <c r="A61" s="10" t="s">
        <v>690</v>
      </c>
      <c r="B61" s="11" t="s">
        <v>691</v>
      </c>
      <c r="C61" s="10" t="s">
        <v>692</v>
      </c>
      <c r="D61" s="10" t="s">
        <v>693</v>
      </c>
      <c r="E61" s="10" t="s">
        <v>694</v>
      </c>
      <c r="F61" s="10" t="s">
        <v>695</v>
      </c>
      <c r="G61" s="10" t="s">
        <v>696</v>
      </c>
      <c r="H61" s="10" t="s">
        <v>697</v>
      </c>
      <c r="I61" s="10" t="s">
        <v>698</v>
      </c>
      <c r="J61" s="10" t="s">
        <v>699</v>
      </c>
      <c r="K61" s="10" t="s">
        <v>43</v>
      </c>
      <c r="L61" s="12"/>
      <c r="M61" s="10" t="s">
        <v>700</v>
      </c>
      <c r="N61" s="10" t="s">
        <v>701</v>
      </c>
    </row>
    <row r="62" spans="1:14" ht="140.25" x14ac:dyDescent="0.25">
      <c r="A62" s="10" t="s">
        <v>690</v>
      </c>
      <c r="B62" s="11" t="s">
        <v>702</v>
      </c>
      <c r="C62" s="10" t="s">
        <v>703</v>
      </c>
      <c r="D62" s="10" t="s">
        <v>704</v>
      </c>
      <c r="E62" s="10" t="s">
        <v>705</v>
      </c>
      <c r="F62" s="10" t="s">
        <v>706</v>
      </c>
      <c r="G62" s="10" t="s">
        <v>707</v>
      </c>
      <c r="H62" s="10" t="s">
        <v>708</v>
      </c>
      <c r="I62" s="10" t="s">
        <v>709</v>
      </c>
      <c r="J62" s="10" t="s">
        <v>710</v>
      </c>
      <c r="K62" s="10" t="s">
        <v>43</v>
      </c>
      <c r="L62" s="12"/>
      <c r="M62" s="10" t="s">
        <v>711</v>
      </c>
      <c r="N62" s="10" t="s">
        <v>712</v>
      </c>
    </row>
    <row r="63" spans="1:14" ht="153" x14ac:dyDescent="0.25">
      <c r="A63" s="10" t="s">
        <v>690</v>
      </c>
      <c r="B63" s="11" t="s">
        <v>713</v>
      </c>
      <c r="C63" s="10" t="s">
        <v>714</v>
      </c>
      <c r="D63" s="10" t="s">
        <v>715</v>
      </c>
      <c r="E63" s="10" t="s">
        <v>716</v>
      </c>
      <c r="F63" s="10" t="s">
        <v>717</v>
      </c>
      <c r="G63" s="10" t="s">
        <v>718</v>
      </c>
      <c r="H63" s="10" t="s">
        <v>719</v>
      </c>
      <c r="I63" s="10" t="s">
        <v>720</v>
      </c>
      <c r="J63" s="10" t="s">
        <v>721</v>
      </c>
      <c r="K63" s="10" t="s">
        <v>43</v>
      </c>
      <c r="L63" s="12"/>
      <c r="M63" s="10" t="s">
        <v>722</v>
      </c>
      <c r="N63" s="10" t="s">
        <v>723</v>
      </c>
    </row>
    <row r="64" spans="1:14" ht="140.25" x14ac:dyDescent="0.25">
      <c r="A64" s="10" t="s">
        <v>690</v>
      </c>
      <c r="B64" s="11" t="s">
        <v>724</v>
      </c>
      <c r="C64" s="10" t="s">
        <v>725</v>
      </c>
      <c r="D64" s="10" t="s">
        <v>726</v>
      </c>
      <c r="E64" s="10" t="s">
        <v>727</v>
      </c>
      <c r="F64" s="10" t="s">
        <v>728</v>
      </c>
      <c r="G64" s="10" t="s">
        <v>729</v>
      </c>
      <c r="H64" s="10" t="s">
        <v>730</v>
      </c>
      <c r="I64" s="10" t="s">
        <v>731</v>
      </c>
      <c r="J64" s="10" t="s">
        <v>732</v>
      </c>
      <c r="K64" s="10" t="s">
        <v>43</v>
      </c>
      <c r="L64" s="12"/>
      <c r="M64" s="10" t="s">
        <v>733</v>
      </c>
      <c r="N64" s="10" t="s">
        <v>734</v>
      </c>
    </row>
    <row r="65" spans="1:14" ht="153" x14ac:dyDescent="0.25">
      <c r="A65" s="10" t="s">
        <v>690</v>
      </c>
      <c r="B65" s="11" t="s">
        <v>735</v>
      </c>
      <c r="C65" s="10" t="s">
        <v>736</v>
      </c>
      <c r="D65" s="10" t="s">
        <v>737</v>
      </c>
      <c r="E65" s="10" t="s">
        <v>738</v>
      </c>
      <c r="F65" s="10" t="s">
        <v>739</v>
      </c>
      <c r="G65" s="10" t="s">
        <v>740</v>
      </c>
      <c r="H65" s="10" t="s">
        <v>741</v>
      </c>
      <c r="I65" s="10" t="s">
        <v>742</v>
      </c>
      <c r="J65" s="10" t="s">
        <v>743</v>
      </c>
      <c r="K65" s="10" t="s">
        <v>43</v>
      </c>
      <c r="L65" s="12"/>
      <c r="M65" s="10" t="s">
        <v>744</v>
      </c>
      <c r="N65" s="10" t="s">
        <v>745</v>
      </c>
    </row>
    <row r="66" spans="1:14" ht="140.25" x14ac:dyDescent="0.25">
      <c r="A66" s="10" t="s">
        <v>690</v>
      </c>
      <c r="B66" s="11" t="s">
        <v>746</v>
      </c>
      <c r="C66" s="10" t="s">
        <v>747</v>
      </c>
      <c r="D66" s="10" t="s">
        <v>748</v>
      </c>
      <c r="E66" s="10" t="s">
        <v>749</v>
      </c>
      <c r="F66" s="10" t="s">
        <v>750</v>
      </c>
      <c r="G66" s="10" t="s">
        <v>751</v>
      </c>
      <c r="H66" s="10" t="s">
        <v>752</v>
      </c>
      <c r="I66" s="10" t="s">
        <v>753</v>
      </c>
      <c r="J66" s="10" t="s">
        <v>754</v>
      </c>
      <c r="K66" s="10" t="s">
        <v>43</v>
      </c>
      <c r="L66" s="12"/>
      <c r="M66" s="10" t="s">
        <v>755</v>
      </c>
      <c r="N66" s="10" t="s">
        <v>756</v>
      </c>
    </row>
    <row r="67" spans="1:14" ht="204" x14ac:dyDescent="0.25">
      <c r="A67" s="10" t="s">
        <v>690</v>
      </c>
      <c r="B67" s="11" t="s">
        <v>757</v>
      </c>
      <c r="C67" s="10" t="s">
        <v>758</v>
      </c>
      <c r="D67" s="10" t="s">
        <v>759</v>
      </c>
      <c r="E67" s="10" t="s">
        <v>760</v>
      </c>
      <c r="F67" s="10" t="s">
        <v>761</v>
      </c>
      <c r="G67" s="10" t="s">
        <v>762</v>
      </c>
      <c r="H67" s="10" t="s">
        <v>763</v>
      </c>
      <c r="I67" s="10" t="s">
        <v>764</v>
      </c>
      <c r="J67" s="10" t="s">
        <v>765</v>
      </c>
      <c r="K67" s="10" t="s">
        <v>43</v>
      </c>
      <c r="L67" s="12"/>
      <c r="M67" s="10" t="s">
        <v>766</v>
      </c>
      <c r="N67" s="10" t="s">
        <v>767</v>
      </c>
    </row>
    <row r="68" spans="1:14" ht="127.5" x14ac:dyDescent="0.25">
      <c r="A68" s="10" t="s">
        <v>690</v>
      </c>
      <c r="B68" s="11" t="s">
        <v>768</v>
      </c>
      <c r="C68" s="10" t="s">
        <v>769</v>
      </c>
      <c r="D68" s="10" t="s">
        <v>770</v>
      </c>
      <c r="E68" s="10" t="s">
        <v>771</v>
      </c>
      <c r="F68" s="10" t="s">
        <v>772</v>
      </c>
      <c r="G68" s="10" t="s">
        <v>773</v>
      </c>
      <c r="H68" s="10" t="s">
        <v>774</v>
      </c>
      <c r="I68" s="10" t="s">
        <v>775</v>
      </c>
      <c r="J68" s="10" t="s">
        <v>776</v>
      </c>
      <c r="K68" s="10" t="s">
        <v>43</v>
      </c>
      <c r="L68" s="12"/>
      <c r="M68" s="10" t="s">
        <v>777</v>
      </c>
      <c r="N68" s="10" t="s">
        <v>778</v>
      </c>
    </row>
    <row r="69" spans="1:14" ht="191.25" x14ac:dyDescent="0.25">
      <c r="A69" s="10" t="s">
        <v>690</v>
      </c>
      <c r="B69" s="11" t="s">
        <v>779</v>
      </c>
      <c r="C69" s="10" t="s">
        <v>780</v>
      </c>
      <c r="D69" s="10" t="s">
        <v>781</v>
      </c>
      <c r="E69" s="10" t="s">
        <v>782</v>
      </c>
      <c r="F69" s="10" t="s">
        <v>783</v>
      </c>
      <c r="G69" s="10" t="s">
        <v>784</v>
      </c>
      <c r="H69" s="10" t="s">
        <v>785</v>
      </c>
      <c r="I69" s="10" t="s">
        <v>786</v>
      </c>
      <c r="J69" s="10" t="s">
        <v>787</v>
      </c>
      <c r="K69" s="10" t="s">
        <v>43</v>
      </c>
      <c r="L69" s="12"/>
      <c r="M69" s="10" t="s">
        <v>788</v>
      </c>
      <c r="N69" s="10" t="s">
        <v>789</v>
      </c>
    </row>
    <row r="70" spans="1:14" ht="178.5" x14ac:dyDescent="0.25">
      <c r="A70" s="10" t="s">
        <v>690</v>
      </c>
      <c r="B70" s="11" t="s">
        <v>790</v>
      </c>
      <c r="C70" s="10" t="s">
        <v>791</v>
      </c>
      <c r="D70" s="10" t="s">
        <v>792</v>
      </c>
      <c r="E70" s="10" t="s">
        <v>793</v>
      </c>
      <c r="F70" s="10" t="s">
        <v>794</v>
      </c>
      <c r="G70" s="10" t="s">
        <v>795</v>
      </c>
      <c r="H70" s="10" t="s">
        <v>796</v>
      </c>
      <c r="I70" s="10" t="s">
        <v>797</v>
      </c>
      <c r="J70" s="10" t="s">
        <v>798</v>
      </c>
      <c r="K70" s="10" t="s">
        <v>43</v>
      </c>
      <c r="L70" s="12"/>
      <c r="M70" s="10" t="s">
        <v>799</v>
      </c>
      <c r="N70" s="10" t="s">
        <v>800</v>
      </c>
    </row>
    <row r="71" spans="1:14" ht="153" x14ac:dyDescent="0.25">
      <c r="A71" s="10" t="s">
        <v>801</v>
      </c>
      <c r="B71" s="11" t="s">
        <v>802</v>
      </c>
      <c r="C71" s="10" t="s">
        <v>803</v>
      </c>
      <c r="D71" s="10" t="s">
        <v>804</v>
      </c>
      <c r="E71" s="10" t="s">
        <v>805</v>
      </c>
      <c r="F71" s="10" t="s">
        <v>806</v>
      </c>
      <c r="G71" s="10" t="s">
        <v>807</v>
      </c>
      <c r="H71" s="10" t="s">
        <v>808</v>
      </c>
      <c r="I71" s="10" t="s">
        <v>809</v>
      </c>
      <c r="J71" s="10" t="s">
        <v>810</v>
      </c>
      <c r="K71" s="10" t="s">
        <v>43</v>
      </c>
      <c r="L71" s="12"/>
      <c r="M71" s="10" t="s">
        <v>811</v>
      </c>
      <c r="N71" s="10" t="s">
        <v>812</v>
      </c>
    </row>
    <row r="72" spans="1:14" ht="102" x14ac:dyDescent="0.25">
      <c r="A72" s="10" t="s">
        <v>801</v>
      </c>
      <c r="B72" s="11" t="s">
        <v>813</v>
      </c>
      <c r="C72" s="10" t="s">
        <v>814</v>
      </c>
      <c r="D72" s="10" t="s">
        <v>815</v>
      </c>
      <c r="E72" s="10" t="s">
        <v>816</v>
      </c>
      <c r="F72" s="10" t="s">
        <v>817</v>
      </c>
      <c r="G72" s="10" t="s">
        <v>818</v>
      </c>
      <c r="H72" s="10" t="s">
        <v>819</v>
      </c>
      <c r="I72" s="10" t="s">
        <v>820</v>
      </c>
      <c r="J72" s="10" t="s">
        <v>821</v>
      </c>
      <c r="K72" s="10" t="s">
        <v>822</v>
      </c>
      <c r="L72" s="12"/>
      <c r="M72" s="10" t="s">
        <v>823</v>
      </c>
      <c r="N72" s="10" t="s">
        <v>824</v>
      </c>
    </row>
    <row r="73" spans="1:14" ht="127.5" x14ac:dyDescent="0.25">
      <c r="A73" s="10" t="s">
        <v>801</v>
      </c>
      <c r="B73" s="11" t="s">
        <v>825</v>
      </c>
      <c r="C73" s="10" t="s">
        <v>826</v>
      </c>
      <c r="D73" s="10" t="s">
        <v>827</v>
      </c>
      <c r="E73" s="10" t="s">
        <v>828</v>
      </c>
      <c r="F73" s="10" t="s">
        <v>829</v>
      </c>
      <c r="G73" s="10" t="s">
        <v>830</v>
      </c>
      <c r="H73" s="10" t="s">
        <v>831</v>
      </c>
      <c r="I73" s="10" t="s">
        <v>832</v>
      </c>
      <c r="J73" s="10" t="s">
        <v>833</v>
      </c>
      <c r="K73" s="10" t="s">
        <v>43</v>
      </c>
      <c r="L73" s="12"/>
      <c r="M73" s="10" t="s">
        <v>834</v>
      </c>
      <c r="N73" s="10" t="s">
        <v>835</v>
      </c>
    </row>
    <row r="74" spans="1:14" ht="127.5" x14ac:dyDescent="0.25">
      <c r="A74" s="10" t="s">
        <v>801</v>
      </c>
      <c r="B74" s="11" t="s">
        <v>836</v>
      </c>
      <c r="C74" s="10" t="s">
        <v>837</v>
      </c>
      <c r="D74" s="10" t="s">
        <v>838</v>
      </c>
      <c r="E74" s="10" t="s">
        <v>839</v>
      </c>
      <c r="F74" s="10" t="s">
        <v>840</v>
      </c>
      <c r="G74" s="10" t="s">
        <v>841</v>
      </c>
      <c r="H74" s="10" t="s">
        <v>842</v>
      </c>
      <c r="I74" s="10" t="s">
        <v>843</v>
      </c>
      <c r="J74" s="10" t="s">
        <v>844</v>
      </c>
      <c r="K74" s="10" t="s">
        <v>845</v>
      </c>
      <c r="L74" s="12"/>
      <c r="M74" s="10" t="s">
        <v>846</v>
      </c>
      <c r="N74" s="10" t="s">
        <v>847</v>
      </c>
    </row>
    <row r="75" spans="1:14" ht="178.5" x14ac:dyDescent="0.25">
      <c r="A75" s="10" t="s">
        <v>801</v>
      </c>
      <c r="B75" s="11" t="s">
        <v>848</v>
      </c>
      <c r="C75" s="10" t="s">
        <v>849</v>
      </c>
      <c r="D75" s="10" t="s">
        <v>850</v>
      </c>
      <c r="E75" s="10" t="s">
        <v>851</v>
      </c>
      <c r="F75" s="10" t="s">
        <v>852</v>
      </c>
      <c r="G75" s="10" t="s">
        <v>853</v>
      </c>
      <c r="H75" s="10" t="s">
        <v>854</v>
      </c>
      <c r="I75" s="10" t="s">
        <v>855</v>
      </c>
      <c r="J75" s="10" t="s">
        <v>856</v>
      </c>
      <c r="K75" s="10" t="s">
        <v>43</v>
      </c>
      <c r="L75" s="12"/>
      <c r="M75" s="10" t="s">
        <v>857</v>
      </c>
      <c r="N75" s="10" t="s">
        <v>858</v>
      </c>
    </row>
    <row r="76" spans="1:14" ht="140.25" x14ac:dyDescent="0.25">
      <c r="A76" s="10" t="s">
        <v>801</v>
      </c>
      <c r="B76" s="11" t="s">
        <v>859</v>
      </c>
      <c r="C76" s="10" t="s">
        <v>860</v>
      </c>
      <c r="D76" s="10" t="s">
        <v>861</v>
      </c>
      <c r="E76" s="10" t="s">
        <v>862</v>
      </c>
      <c r="F76" s="10" t="s">
        <v>863</v>
      </c>
      <c r="G76" s="10" t="s">
        <v>864</v>
      </c>
      <c r="H76" s="10" t="s">
        <v>865</v>
      </c>
      <c r="I76" s="10" t="s">
        <v>866</v>
      </c>
      <c r="J76" s="10" t="s">
        <v>867</v>
      </c>
      <c r="K76" s="10" t="s">
        <v>43</v>
      </c>
      <c r="L76" s="12"/>
      <c r="M76" s="10" t="s">
        <v>868</v>
      </c>
      <c r="N76" s="10" t="s">
        <v>869</v>
      </c>
    </row>
  </sheetData>
  <dataValidations count="2">
    <dataValidation type="list" allowBlank="1" showErrorMessage="1" errorTitle="Valor no válido" error="Seleccione un nivel de 0 a 5." sqref="L2:L29 L31:L58 L60:L71 L73 L75:L76" xr:uid="{00000000-0002-0000-0100-000000000000}">
      <formula1>"0,1,2,3,4,5"</formula1>
      <formula2>0</formula2>
    </dataValidation>
    <dataValidation type="list" allowBlank="1" showErrorMessage="1" errorTitle="Valor no válido" error="Seleccione un nivel de 0 a 5, o &quot;NA&quot; si corresponde." sqref="L30 L59 L72 L74" xr:uid="{00000000-0002-0000-0100-000001000000}">
      <formula1>"0,1,2,3,4,5,NA"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showGridLines="0" zoomScaleNormal="100" workbookViewId="0">
      <pane ySplit="1" topLeftCell="A2" activePane="bottomLeft" state="frozen"/>
      <selection pane="bottomLeft"/>
    </sheetView>
  </sheetViews>
  <sheetFormatPr baseColWidth="10" defaultColWidth="8.7109375" defaultRowHeight="15" x14ac:dyDescent="0.25"/>
  <cols>
    <col min="1" max="1" width="55" customWidth="1"/>
    <col min="2" max="2" width="14" customWidth="1"/>
    <col min="3" max="3" width="24" customWidth="1"/>
    <col min="4" max="4" width="22" customWidth="1"/>
    <col min="5" max="5" width="20" customWidth="1"/>
  </cols>
  <sheetData>
    <row r="1" spans="1:5" ht="30" customHeight="1" x14ac:dyDescent="0.25">
      <c r="A1" s="9" t="s">
        <v>19</v>
      </c>
      <c r="B1" s="9" t="s">
        <v>870</v>
      </c>
      <c r="C1" s="9" t="s">
        <v>871</v>
      </c>
      <c r="D1" s="9" t="s">
        <v>872</v>
      </c>
      <c r="E1" s="9" t="s">
        <v>873</v>
      </c>
    </row>
    <row r="2" spans="1:5" ht="30" customHeight="1" x14ac:dyDescent="0.25">
      <c r="A2" s="10" t="s">
        <v>33</v>
      </c>
      <c r="B2" s="13">
        <v>8</v>
      </c>
      <c r="C2" s="13">
        <f>COUNT('Matriz de Evaluación'!L2:L9)</f>
        <v>0</v>
      </c>
      <c r="D2" s="14" t="str">
        <f>IFERROR(AVERAGE('Matriz de Evaluación'!L2:L9),"")</f>
        <v/>
      </c>
      <c r="E2" s="13" t="str">
        <f t="shared" ref="E2:E9" si="0">IF(D2="","",CHOOSE(MIN(MAX(FLOOR(D2,1),0),5)+1,"No iniciado","Inicial","En desarrollo","Definido","Logrado","Optimizado"))</f>
        <v/>
      </c>
    </row>
    <row r="3" spans="1:5" ht="30" customHeight="1" x14ac:dyDescent="0.25">
      <c r="A3" s="10" t="s">
        <v>123</v>
      </c>
      <c r="B3" s="13">
        <v>5</v>
      </c>
      <c r="C3" s="13">
        <f>COUNT('Matriz de Evaluación'!L10:L14)</f>
        <v>0</v>
      </c>
      <c r="D3" s="14" t="str">
        <f>IFERROR(AVERAGE('Matriz de Evaluación'!L10:L14),"")</f>
        <v/>
      </c>
      <c r="E3" s="13" t="str">
        <f t="shared" si="0"/>
        <v/>
      </c>
    </row>
    <row r="4" spans="1:5" ht="30" customHeight="1" x14ac:dyDescent="0.25">
      <c r="A4" s="10" t="s">
        <v>179</v>
      </c>
      <c r="B4" s="13">
        <v>16</v>
      </c>
      <c r="C4" s="13">
        <f>COUNT('Matriz de Evaluación'!L15:L30)</f>
        <v>0</v>
      </c>
      <c r="D4" s="14" t="str">
        <f>IFERROR(AVERAGE('Matriz de Evaluación'!L15:L30),"")</f>
        <v/>
      </c>
      <c r="E4" s="13" t="str">
        <f t="shared" si="0"/>
        <v/>
      </c>
    </row>
    <row r="5" spans="1:5" ht="30" customHeight="1" x14ac:dyDescent="0.25">
      <c r="A5" s="10" t="s">
        <v>356</v>
      </c>
      <c r="B5" s="13">
        <v>12</v>
      </c>
      <c r="C5" s="13">
        <f>COUNT('Matriz de Evaluación'!L31:L42)</f>
        <v>0</v>
      </c>
      <c r="D5" s="14" t="str">
        <f>IFERROR(AVERAGE('Matriz de Evaluación'!L31:L42),"")</f>
        <v/>
      </c>
      <c r="E5" s="13" t="str">
        <f t="shared" si="0"/>
        <v/>
      </c>
    </row>
    <row r="6" spans="1:5" ht="30" customHeight="1" x14ac:dyDescent="0.25">
      <c r="A6" s="10" t="s">
        <v>489</v>
      </c>
      <c r="B6" s="13">
        <v>9</v>
      </c>
      <c r="C6" s="13">
        <f>COUNT('Matriz de Evaluación'!L43:L51)</f>
        <v>0</v>
      </c>
      <c r="D6" s="14" t="str">
        <f>IFERROR(AVERAGE('Matriz de Evaluación'!L43:L51),"")</f>
        <v/>
      </c>
      <c r="E6" s="13" t="str">
        <f t="shared" si="0"/>
        <v/>
      </c>
    </row>
    <row r="7" spans="1:5" ht="30" customHeight="1" x14ac:dyDescent="0.25">
      <c r="A7" s="10" t="s">
        <v>589</v>
      </c>
      <c r="B7" s="13">
        <v>9</v>
      </c>
      <c r="C7" s="13">
        <f>COUNT('Matriz de Evaluación'!L52:L60)</f>
        <v>0</v>
      </c>
      <c r="D7" s="14" t="str">
        <f>IFERROR(AVERAGE('Matriz de Evaluación'!L52:L60),"")</f>
        <v/>
      </c>
      <c r="E7" s="13" t="str">
        <f t="shared" si="0"/>
        <v/>
      </c>
    </row>
    <row r="8" spans="1:5" ht="30" customHeight="1" x14ac:dyDescent="0.25">
      <c r="A8" s="10" t="s">
        <v>690</v>
      </c>
      <c r="B8" s="13">
        <v>10</v>
      </c>
      <c r="C8" s="13">
        <f>COUNT('Matriz de Evaluación'!L61:L70)</f>
        <v>0</v>
      </c>
      <c r="D8" s="14" t="str">
        <f>IFERROR(AVERAGE('Matriz de Evaluación'!L61:L70),"")</f>
        <v/>
      </c>
      <c r="E8" s="13" t="str">
        <f t="shared" si="0"/>
        <v/>
      </c>
    </row>
    <row r="9" spans="1:5" ht="30" customHeight="1" x14ac:dyDescent="0.25">
      <c r="A9" s="10" t="s">
        <v>801</v>
      </c>
      <c r="B9" s="13">
        <v>6</v>
      </c>
      <c r="C9" s="13">
        <f>COUNT('Matriz de Evaluación'!L71:L76)</f>
        <v>0</v>
      </c>
      <c r="D9" s="14" t="str">
        <f>IFERROR(AVERAGE('Matriz de Evaluación'!L71:L76),"")</f>
        <v/>
      </c>
      <c r="E9" s="13" t="str">
        <f t="shared" si="0"/>
        <v/>
      </c>
    </row>
    <row r="11" spans="1:5" ht="15.75" x14ac:dyDescent="0.25">
      <c r="A11" s="15" t="s">
        <v>874</v>
      </c>
      <c r="B11" s="16"/>
      <c r="C11" s="16"/>
      <c r="D11" s="17" t="str">
        <f>IFERROR(AVERAGE(D2,D3,D4,D5,D6,D7,D8,D9),"")</f>
        <v/>
      </c>
      <c r="E11" s="18" t="str">
        <f>IF(D11="","",CHOOSE(MIN(MAX(FLOOR(D11,1),0),5)+1,"No iniciado","Inicial","En desarrollo","Definido","Logrado","Optimizado"))</f>
        <v/>
      </c>
    </row>
    <row r="13" spans="1:5" ht="48" customHeight="1" x14ac:dyDescent="0.25">
      <c r="A13" s="8" t="s">
        <v>875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Matriz de Evaluación</vt:lpstr>
      <vt:lpstr>Hoja de Puntajes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Darwin Denis</cp:lastModifiedBy>
  <cp:revision>0</cp:revision>
  <dcterms:created xsi:type="dcterms:W3CDTF">2026-10-07T20:08:45Z</dcterms:created>
  <dcterms:modified xsi:type="dcterms:W3CDTF">2026-10-07T20:35:19Z</dcterms:modified>
  <dc:language>en-US</dc:language>
</cp:coreProperties>
</file>